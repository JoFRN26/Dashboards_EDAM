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FondosMutuos\"/>
    </mc:Choice>
  </mc:AlternateContent>
  <xr:revisionPtr revIDLastSave="0" documentId="13_ncr:1_{8B5605A8-7C0A-462B-9597-FB5EBE48E712}" xr6:coauthVersionLast="47" xr6:coauthVersionMax="47" xr10:uidLastSave="{00000000-0000-0000-0000-000000000000}"/>
  <bookViews>
    <workbookView xWindow="-108" yWindow="-108" windowWidth="23256" windowHeight="13896" xr2:uid="{837DD3E0-4F9E-4033-A113-A4241C8EE115}"/>
  </bookViews>
  <sheets>
    <sheet name="Fondos" sheetId="1" r:id="rId1"/>
    <sheet name="Data" sheetId="2" r:id="rId2"/>
    <sheet name="Hoja1" sheetId="3" r:id="rId3"/>
    <sheet name="Hoja2" sheetId="4" r:id="rId4"/>
    <sheet name="Hoja3" sheetId="5" r:id="rId5"/>
  </sheets>
  <calcPr calcId="191029"/>
  <pivotCaches>
    <pivotCache cacheId="2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0" i="5" l="1"/>
  <c r="F60" i="5" s="1"/>
  <c r="E55" i="5"/>
  <c r="F55" i="5" s="1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M30" i="5"/>
  <c r="M29" i="5"/>
  <c r="M28" i="5"/>
  <c r="M27" i="5"/>
  <c r="M24" i="5"/>
  <c r="M23" i="5"/>
  <c r="M22" i="5"/>
  <c r="M21" i="5"/>
  <c r="L26" i="5"/>
  <c r="G26" i="5"/>
  <c r="L20" i="5"/>
  <c r="G20" i="5"/>
  <c r="D13" i="3"/>
  <c r="D11" i="3"/>
  <c r="D9" i="3"/>
  <c r="D8" i="3"/>
  <c r="D6" i="3"/>
  <c r="D5" i="3"/>
  <c r="F3" i="3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  <c r="D3" i="3"/>
  <c r="D4" i="3"/>
  <c r="D7" i="3"/>
  <c r="D10" i="3"/>
  <c r="D12" i="3"/>
  <c r="D2" i="3"/>
  <c r="M26" i="5" l="1"/>
  <c r="N33" i="5" s="1"/>
  <c r="M20" i="5"/>
</calcChain>
</file>

<file path=xl/sharedStrings.xml><?xml version="1.0" encoding="utf-8"?>
<sst xmlns="http://schemas.openxmlformats.org/spreadsheetml/2006/main" count="1874" uniqueCount="434">
  <si>
    <t>ID</t>
  </si>
  <si>
    <t>Fondo</t>
  </si>
  <si>
    <t>Administradora</t>
  </si>
  <si>
    <t>Horizonte</t>
  </si>
  <si>
    <t>Fecha Inicio</t>
  </si>
  <si>
    <t>BBVA RENTA MED. PLAZO S/. BBVA SAF</t>
  </si>
  <si>
    <t>CC CONSERV. MED. PLAZO S/. CREDICORP SAF</t>
  </si>
  <si>
    <t>IF MEDIANO PLAZO SOLES INTERFONDO</t>
  </si>
  <si>
    <t>SURA RENTA SOLES FONDOS SURA SAF</t>
  </si>
  <si>
    <t>BBVA CASH SOLES BBVA SAF</t>
  </si>
  <si>
    <t>BBVA RENTA CORTO PLAZO S/. BBVA SAF</t>
  </si>
  <si>
    <t>BBVA TESORERIA SOLES FMIV BBVA SAF</t>
  </si>
  <si>
    <t>CRED. CONSER. CORTO PLAZO S/ CREDICORP SAF</t>
  </si>
  <si>
    <t>CRED. CONSERVAD. LIQUIDEZ S/ CREDICORP SAF</t>
  </si>
  <si>
    <t>SF Liquidez S/. SCOTIA FONDOS</t>
  </si>
  <si>
    <t>SURA CORTO PLAZO SOLES FONDOS SURA SAF</t>
  </si>
  <si>
    <t>CP</t>
  </si>
  <si>
    <t>BBVA SAF</t>
  </si>
  <si>
    <t>CREDICORP SAF</t>
  </si>
  <si>
    <t>SCOTIA FONDOS</t>
  </si>
  <si>
    <t>FONDOS SURA SAF</t>
  </si>
  <si>
    <t>SURA ULTRA CASH SOLES FONDOS SURA SAF</t>
  </si>
  <si>
    <t>BBVACASH</t>
  </si>
  <si>
    <t>BBVARENTACORTOPLAZO</t>
  </si>
  <si>
    <t>BBVATESORERIASOLES</t>
  </si>
  <si>
    <t>CREDCONSERCORTOPLAZO</t>
  </si>
  <si>
    <t>CREDCONSERVADLIQUIDEZ</t>
  </si>
  <si>
    <t>SFLiquidez</t>
  </si>
  <si>
    <t>SURACORTOPLAZOSOLES</t>
  </si>
  <si>
    <t>SURAULTRACASHSOLES</t>
  </si>
  <si>
    <t>MP</t>
  </si>
  <si>
    <t>INTERFONDO</t>
  </si>
  <si>
    <t>BBVARENTAMEDPLAZO</t>
  </si>
  <si>
    <t>CCMEDPLAZO</t>
  </si>
  <si>
    <t>IFMEDIANOPLAZO</t>
  </si>
  <si>
    <t>SURARENTASOLES</t>
  </si>
  <si>
    <t>Fecha</t>
  </si>
  <si>
    <t>Valor Cuota</t>
  </si>
  <si>
    <t>Patrimonio</t>
  </si>
  <si>
    <t>Partícipes</t>
  </si>
  <si>
    <t>ETFPESOV</t>
  </si>
  <si>
    <t>EL DORADO</t>
  </si>
  <si>
    <t>ETF</t>
  </si>
  <si>
    <t>Tipo Fondo</t>
  </si>
  <si>
    <t>Fondo Mutuo</t>
  </si>
  <si>
    <t>Fec. Inicio Operación</t>
  </si>
  <si>
    <t>Moneda Cuota</t>
  </si>
  <si>
    <t>Variacion desde el Inicio del 2026</t>
  </si>
  <si>
    <t>Rentabilidad(A) 2025</t>
  </si>
  <si>
    <t>Rentabilidad(A) 2024</t>
  </si>
  <si>
    <t>Rentabilidad(A) 2023</t>
  </si>
  <si>
    <t>Rentabilidad(A) 2022</t>
  </si>
  <si>
    <t>Rentabilidad(A) 2021</t>
  </si>
  <si>
    <t>Patrimonio S/.</t>
  </si>
  <si>
    <t>Patrimonio %</t>
  </si>
  <si>
    <t>Partícipes N</t>
  </si>
  <si>
    <t>Partícipes %</t>
  </si>
  <si>
    <t>Inf. Atrasada</t>
  </si>
  <si>
    <t>01 - Renta Variable</t>
  </si>
  <si>
    <t>CREDICORP ACCIONES GLOBAL CREDICORP SAF</t>
  </si>
  <si>
    <t>$</t>
  </si>
  <si>
    <t>CREDICORP CAPITAL ACCIONES CREDICORP SAF</t>
  </si>
  <si>
    <t>FARO RENTA VARIABLE GLOBAL FARO CAPITAL SAFI</t>
  </si>
  <si>
    <t>FARO CAPITAL SAFI</t>
  </si>
  <si>
    <t>FARO CAPITAL SAFI-FARO RENTA VARIABLE GLOBAL SERIE A</t>
  </si>
  <si>
    <t>FARO CAPITAL SAFI-FARO RENTA VARIABLE GLOBAL SERIE B</t>
  </si>
  <si>
    <t>FARO CAPITAL SAFI-FARO RENTA VARIABLE GLOBAL SERIE C</t>
  </si>
  <si>
    <t>IF ACCIONES INTERFONDO</t>
  </si>
  <si>
    <t>S/.</t>
  </si>
  <si>
    <t>Promoinvest Fondo Selectivo PROMOINVEST SAF</t>
  </si>
  <si>
    <t>PROMOINVEST SAF</t>
  </si>
  <si>
    <t>SURA ACCIONES FONDOS SURA SAF</t>
  </si>
  <si>
    <t>03 - Renta Mixta Dólares</t>
  </si>
  <si>
    <t>SF NOTA ESTRUC XVII SCOTIA FONDOS</t>
  </si>
  <si>
    <t>06 - Corto Plazo Soles</t>
  </si>
  <si>
    <t>AC CASH PLUS S/ ANDEAN CROWN SAF S.A.C.</t>
  </si>
  <si>
    <t>ANDEAN CROWN SAF S.A.C.</t>
  </si>
  <si>
    <t>ANDEAN CROWN SAF S.A.C.-AC CASH PLUS S/ SERIE A</t>
  </si>
  <si>
    <t>ANDEAN CROWN SAF S.A.C.-AC CASH PLUS S/ SERIE B</t>
  </si>
  <si>
    <t>Prudential Corto Plazo S/. PRUDENTIAL SAF</t>
  </si>
  <si>
    <t>PRUDENTIAL SAF</t>
  </si>
  <si>
    <t>PRUDENTIAL SAF-Prudential Corto Plazo S/. SERIE A</t>
  </si>
  <si>
    <t>PRUDENTIAL SAF-Prudential Corto Plazo S/. SERIE B</t>
  </si>
  <si>
    <t>07 - Corto Plazo Dólares</t>
  </si>
  <si>
    <t>Andean Crown Cash Plus $ ANDEAN CROWN SAF S.A.C.</t>
  </si>
  <si>
    <t>ANDEAN CROWN SAF S.A.C.-Andean Crown Cash Plus $ SERIE A</t>
  </si>
  <si>
    <t>ANDEAN CROWN SAF S.A.C.-Andean Crown Cash Plus $ SERIE B</t>
  </si>
  <si>
    <t>Prudential Corto Plazo $ PRUDENTIAL SAF</t>
  </si>
  <si>
    <t>PRUDENTIAL SAF-Prudential Corto Plazo $ SERIE A</t>
  </si>
  <si>
    <t>PRUDENTIAL SAF-Prudential Corto Plazo $ SERIE B</t>
  </si>
  <si>
    <t>12 - Estructurado</t>
  </si>
  <si>
    <t>CC 24M CUP MEM $ 1 CREDICORP SAF</t>
  </si>
  <si>
    <t>IF I CAPITAL INTERFONDO</t>
  </si>
  <si>
    <t>IF II CAPITAL INTERFONDO</t>
  </si>
  <si>
    <t>IF III CAPITAL INTERFONDO</t>
  </si>
  <si>
    <t>IF IV CAPITAL INTERFONDO</t>
  </si>
  <si>
    <t>14 - Renta Mixta Crecimiento Soles</t>
  </si>
  <si>
    <t>CRED. CRECIMIENTO VCS CREDICORP SAF</t>
  </si>
  <si>
    <t>17 - Renta Mixta Balanceado Dólares</t>
  </si>
  <si>
    <t>CRED. EQUILIBRADO CREDICORP SAF</t>
  </si>
  <si>
    <t>IF MIXTO BALANCEADO INTERFONDO</t>
  </si>
  <si>
    <t>18 - Renta Mixta Moderado Soles</t>
  </si>
  <si>
    <t>CRED. MODERADO VCS CREDICORP SAF</t>
  </si>
  <si>
    <t>19 - Renta Mixta Moderado Dólares</t>
  </si>
  <si>
    <t>CRED. MODERADO CREDICORP SAF</t>
  </si>
  <si>
    <t>21 - Inst. Deuda Largo Plazo $</t>
  </si>
  <si>
    <t>VC BONOS CORP. LATAM COMPASS GROUP SAFI S.A.</t>
  </si>
  <si>
    <t>COMPASS GROUP SAFI S.A.</t>
  </si>
  <si>
    <t>COMPASS GROUP SAFI S.A.-VC BONOS CORP. LATAM SERIE A</t>
  </si>
  <si>
    <t>COMPASS GROUP SAFI S.A.-VC BONOS CORP. LATAM SERIE B</t>
  </si>
  <si>
    <t>COMPASS GROUP SAFI S.A.-VC BONOS CORP. LATAM SERIE C</t>
  </si>
  <si>
    <t>22 - Inst. Deuda Mediano Plazo S/</t>
  </si>
  <si>
    <t>CREDICORP SAF-CC CONSERV. MED. PLAZO S/. SERIE A</t>
  </si>
  <si>
    <t>CREDICORP SAF-CC CONSERV. MED. PLAZO S/. SERIE B</t>
  </si>
  <si>
    <t>FONDOS SURA SAF-SURA RENTA SOLES SERIE A</t>
  </si>
  <si>
    <t>FONDOS SURA SAF-SURA RENTA SOLES SERIE B</t>
  </si>
  <si>
    <t>23 - Inst. Deuda Mediano Plazo $</t>
  </si>
  <si>
    <t>BBVA RENTA MED. PLAZO $ BBVA SAF</t>
  </si>
  <si>
    <t>IF MEDIANO PLAZO INTERFONDO</t>
  </si>
  <si>
    <t>24 - Inst. Deuda Corto Plazo S/</t>
  </si>
  <si>
    <t>CREDICORP SAF-CRED. CONSER. CORTO PLAZO S/ SERIE A</t>
  </si>
  <si>
    <t>CREDICORP SAF-CRED. CONSER. CORTO PLAZO S/ SERIE B</t>
  </si>
  <si>
    <t>CREDICORP SAF-CRED. CONSERVAD. LIQUIDEZ S/ SERIE A</t>
  </si>
  <si>
    <t>CREDICORP SAF-CRED. CONSERVAD. LIQUIDEZ S/ SERIE B</t>
  </si>
  <si>
    <t>DIVISO CONSERVADOR SOLES</t>
  </si>
  <si>
    <t>FONDOS SURA SAF-SURA CORTO PLAZO SOLES SERIE A</t>
  </si>
  <si>
    <t>FONDOS SURA SAF-SURA CORTO PLAZO SOLES SERIE B</t>
  </si>
  <si>
    <t>FONDOS SURA SAF-SURA ULTRA CASH SOLES SERIE A</t>
  </si>
  <si>
    <t>FONDOS SURA SAF-SURA ULTRA CASH SOLES SERIE B</t>
  </si>
  <si>
    <t>25 - Inst. Deuda Corto Plazo $</t>
  </si>
  <si>
    <t>BBVA CASH DOLARES BBVA SAF</t>
  </si>
  <si>
    <t>BBVA RENTA CORTO PLAZO $ BBVA SAF</t>
  </si>
  <si>
    <t>CRED. CONSER. CORTO PLAZO $ CREDICORP SAF</t>
  </si>
  <si>
    <t>CREDICORP SAF-CRED. CONSER. CORTO PLAZO $ SERIE A</t>
  </si>
  <si>
    <t>CREDICORP SAF-CRED. CONSER. CORTO PLAZO $ SERIE B</t>
  </si>
  <si>
    <t>CRED. CONSERVADOR LIQUIDEZ $ CREDICORP SAF</t>
  </si>
  <si>
    <t>CREDICORP SAF-CRED. CONSERVADOR LIQUIDEZ $ SERIE A</t>
  </si>
  <si>
    <t>CREDICORP SAF-CRED. CONSERVADOR LIQUIDEZ $ SERIE B</t>
  </si>
  <si>
    <t>DIVISO CONSERVADOR DOLARES</t>
  </si>
  <si>
    <t>FARO CORTO PLAZO DOLARES FARO CAPITAL SAFI</t>
  </si>
  <si>
    <t>FARO CAPITAL SAFI-FARO CORTO PLAZO DOLARES SERIE A</t>
  </si>
  <si>
    <t>FARO CAPITAL SAFI-FARO CORTO PLAZO DOLARES SERIE B</t>
  </si>
  <si>
    <t>SF LIQUIDEZ $ SCOTIA FONDOS</t>
  </si>
  <si>
    <t>SURA CORTO PLAZO DOLARES FONDOS SURA SAF</t>
  </si>
  <si>
    <t>FONDOS SURA SAF-SURA CORTO PLAZO DOLARES SERIE A</t>
  </si>
  <si>
    <t>FONDOS SURA SAF-SURA CORTO PLAZO DOLARES SERIE B</t>
  </si>
  <si>
    <t>SURA ULTRA CASH DOLARES FONDOS SURA SAF</t>
  </si>
  <si>
    <t>FONDOS SURA SAF-SURA ULTRA CASH DOLARES SERIE A</t>
  </si>
  <si>
    <t>FONDOS SURA SAF-SURA ULTRA CASH DOLARES SERIE B</t>
  </si>
  <si>
    <t>29 - Flexible</t>
  </si>
  <si>
    <t>BLUM ACC GLOB INST BLUM SAF</t>
  </si>
  <si>
    <t>BLUM SAF</t>
  </si>
  <si>
    <t>BLUM BONOS GLOBALES FM BLUM SAF</t>
  </si>
  <si>
    <t>Blum Cash S/ FM BLUM SAF</t>
  </si>
  <si>
    <t>BLUM SAF-Blum Cash S/ FM SERIE A</t>
  </si>
  <si>
    <t>BLUM SAF-Blum Cash S/ FM SERIE O</t>
  </si>
  <si>
    <t>BLUM DEUDA PRIV GLOBAL BLUM SAF</t>
  </si>
  <si>
    <t>BLUM SAF-BLUM DEUDA PRIV GLOBAL SERIE A</t>
  </si>
  <si>
    <t>BLUM SAF-BLUM DEUDA PRIV GLOBAL SERIE B</t>
  </si>
  <si>
    <t>BLUM SAF-BLUM DEUDA PRIV GLOBAL SERIE I</t>
  </si>
  <si>
    <t>BLUM DYNAMIC MACRO STRAT BLUM SAF</t>
  </si>
  <si>
    <t>BLUM SAF-BLUM DYNAMIC MACRO STRAT SERIE A</t>
  </si>
  <si>
    <t>BLUM SAF-BLUM DYNAMIC MACRO STRAT SERIE B</t>
  </si>
  <si>
    <t>BLUM MONEY MARKET $ FM BLUM SAF</t>
  </si>
  <si>
    <t>Blum Renta Global FM BLUM SAF</t>
  </si>
  <si>
    <t>BLUM SAF-Blum Renta Global FM SERIE A</t>
  </si>
  <si>
    <t>BLUM SAF-Blum Renta Global FM SERIE B</t>
  </si>
  <si>
    <t>BLUM SAF-Blum Renta Global FM SERIE I</t>
  </si>
  <si>
    <t>BTG MULTIESTRA GLOB BTG PACTUAL PERU SAF</t>
  </si>
  <si>
    <t>BTG PACTUAL PERU SAF</t>
  </si>
  <si>
    <t>CC DEUDA CORPORATIVA SOLES CREDICORP SAF</t>
  </si>
  <si>
    <t>CC FACTORING $ CREDICORP SAF</t>
  </si>
  <si>
    <t>CORIL CASH CONSERVADOR S/ CORIL SAF</t>
  </si>
  <si>
    <t>CORIL SAF</t>
  </si>
  <si>
    <t>CRED CAP FACTORING S/ CREDICORP SAF</t>
  </si>
  <si>
    <t>FARO CAPITAL FLEXIBLE FARO CAPITAL SAFI</t>
  </si>
  <si>
    <t>FARO CAPITAL SAFI-FARO CAPITAL FLEXIBLE SERIE B</t>
  </si>
  <si>
    <t>FARO CAPITAL SAFI-FARO CAPITAL FLEXIBLE SERIE C</t>
  </si>
  <si>
    <t>FARO DEUDA GLOBAL FARO CAPITAL SAFI</t>
  </si>
  <si>
    <t>FARO CAPITAL SAFI-FARO DEUDA GLOBAL SERIE A</t>
  </si>
  <si>
    <t>FARO CAPITAL SAFI-FARO DEUDA GLOBAL SERIE B</t>
  </si>
  <si>
    <t>FARO CAPITAL SAFI-FARO DEUDA GLOBAL SERIE C</t>
  </si>
  <si>
    <t>Flip Búho Consciente FM INDEPENDIENTE SAF</t>
  </si>
  <si>
    <t>INDEPENDIENTE SAF</t>
  </si>
  <si>
    <t>IF Futuro Seguro $ INTERFONDO</t>
  </si>
  <si>
    <t>IF Futuro Seguro S/ INTERFONDO</t>
  </si>
  <si>
    <t>IF INVERSION FLEXIBLE INTERFONDO</t>
  </si>
  <si>
    <t>IF INVERSION GLOBAL INTERFONDO</t>
  </si>
  <si>
    <t>IF OPORTUNIDAD INTERFONDO</t>
  </si>
  <si>
    <t>INTERFONDO-IF OPORTUNIDAD SERIE A</t>
  </si>
  <si>
    <t>INTERFONDO-IF OPORTUNIDAD SERIE B</t>
  </si>
  <si>
    <t>INTERFONDO-IF OPORTUNIDAD SERIE C</t>
  </si>
  <si>
    <t>IF OPORTUNIDAD SOLES INTERFONDO</t>
  </si>
  <si>
    <t>INTERFONDO-IF OPORTUNIDAD SOLES SERIE A</t>
  </si>
  <si>
    <t>INTERFONDO-IF OPORTUNIDAD SOLES SERIE B</t>
  </si>
  <si>
    <t>INTERFONDO-IF OPORTUNIDAD SOLES SERIE C</t>
  </si>
  <si>
    <t>IF Portafolio Dinámico INTERFONDO</t>
  </si>
  <si>
    <t>IF Portafolio Dinamico Soles INTERFONDO</t>
  </si>
  <si>
    <t>INTERFONDO-IF Portafolio Dinamico Soles SERIE A</t>
  </si>
  <si>
    <t>INTERFONDO-IF Portafolio Dinamico Soles SERIE B</t>
  </si>
  <si>
    <t>PRUDENTIAL RENTA DOLARES PRUDENTIAL SAF</t>
  </si>
  <si>
    <t>PRUDENTIAL SAF-PRUDENTIAL RENTA DOLARES SERIE A</t>
  </si>
  <si>
    <t>PRUDENTIAL SAF-PRUDENTIAL RENTA DOLARES SERIE B</t>
  </si>
  <si>
    <t>PRUDENTIAL RENTA S/ PRUDENTIAL SAF</t>
  </si>
  <si>
    <t>PRUDENTIAL SAF-PRUDENTIAL RENTA S/ SERIE A</t>
  </si>
  <si>
    <t>PRUDENTIAL SAF-PRUDENTIAL RENTA S/ SERIE B</t>
  </si>
  <si>
    <t>SCOTIA DEPÓSITO DISPONIBLE S/. SCOTIA FONDOS</t>
  </si>
  <si>
    <t>SCOTIA FONDO CASH $ SCOTIA FONDOS</t>
  </si>
  <si>
    <t>SCOTIA FONDO CASH S/. SCOTIA FONDOS</t>
  </si>
  <si>
    <t>SCOTIA FONDO PREMIUM $ SCOTIA FONDOS</t>
  </si>
  <si>
    <t>SCOTIA FONDO PREMIUM S/. SCOTIA FONDOS</t>
  </si>
  <si>
    <t>SF Corto Plazo Plus $ SCOTIA FONDOS</t>
  </si>
  <si>
    <t>SF Corto Plazo Plus S/ SCOTIA FONDOS</t>
  </si>
  <si>
    <t>SF INS. DE RENTA $ XIV FMIV SCOTIA FONDOS</t>
  </si>
  <si>
    <t>SF INST DE RENTA $ IX SCOTIA FONDOS</t>
  </si>
  <si>
    <t>SF Inst. Renta $ VIII SCOTIA FONDOS</t>
  </si>
  <si>
    <t>SF INST RENTA S/ 1Y IV SCOTIA FONDOS</t>
  </si>
  <si>
    <t>SF INST RENTA S/ 1Y VI SCOTIA FONDOS</t>
  </si>
  <si>
    <t>SF INSTI DE RENTA $ X SCOTIA FONDOS</t>
  </si>
  <si>
    <t>SF INSTITU LEASING OPE SCOTIA FONDOS</t>
  </si>
  <si>
    <t>SF INSTITU RENTA S/ 1Y VII SCOTIA FONDOS</t>
  </si>
  <si>
    <t>SF Institucional Renta $ V SCOTIA FONDOS</t>
  </si>
  <si>
    <t>SF Institucional Renta $ VI SCOTIA FONDOS</t>
  </si>
  <si>
    <t>SF MEDIANO PLAZO FLEX $ SCOTIA FONDOS</t>
  </si>
  <si>
    <t>SF MEDIANO PLAZO FLEX S/ SCOTIA FONDOS</t>
  </si>
  <si>
    <t>SF NOTA ESTRUC XIII SCOTIA FONDOS</t>
  </si>
  <si>
    <t>SF NOTA ESTRUCTURADA X SCOTIA FONDOS</t>
  </si>
  <si>
    <t>SF NOTA ESTRUCTURADA XI SCOTIA FONDOS</t>
  </si>
  <si>
    <t>SF NOTA ESTRUCTURADA XIV SCOTIA FONDOS</t>
  </si>
  <si>
    <t>SF NOTA ESTRUCTURADA XV SCOTIA FONDOS</t>
  </si>
  <si>
    <t>SF NOTA ESTRUCTURADA XVIII SCOTIA FONDOS</t>
  </si>
  <si>
    <t>SF RENTA $ 6M 31 SCOTIA FONDOS</t>
  </si>
  <si>
    <t>SF RENTA $ 6M 32 SCOTIA FONDOS</t>
  </si>
  <si>
    <t>SF RENTA S/ 6M 10 SCOTIA FONDOS</t>
  </si>
  <si>
    <t>30 - Fondo de Fondos</t>
  </si>
  <si>
    <t>Blum Capital Global FM BLUM SAF</t>
  </si>
  <si>
    <t>BLUM SAF-Blum Capital Global FM SERIE A</t>
  </si>
  <si>
    <t>BLUM SAF-Blum Capital Global FM SERIE B</t>
  </si>
  <si>
    <t>BLUM SAF-Blum Capital Global FM SERIE I</t>
  </si>
  <si>
    <t>Blum Cash FM BLUM SAF</t>
  </si>
  <si>
    <t>BLUM SAF-Blum Cash FM SERIE A</t>
  </si>
  <si>
    <t>BLUM SAF-Blum Cash FM SERIE O</t>
  </si>
  <si>
    <t>BLUM USA 500 FDF BLUM SAF</t>
  </si>
  <si>
    <t>BLUM SAF-BLUM USA 500 FDF SERIE A</t>
  </si>
  <si>
    <t>BLUM SAF-BLUM USA 500 FDF SERIE B</t>
  </si>
  <si>
    <t>CRED CAP. INVESTMENT GRADE CREDICORP SAF</t>
  </si>
  <si>
    <t>CRED CAP VISION I CREDICORP SAF</t>
  </si>
  <si>
    <t>CRED CAP VISION III CREDICORP SAF</t>
  </si>
  <si>
    <t>CRED. DEUDA GLOBAL CREDICORP SAF</t>
  </si>
  <si>
    <t>CRED. EQUILIBRADO VCS CREDICORP SAF</t>
  </si>
  <si>
    <t>CREDI. ACC. LATAM-PACIFICO CREDICORP SAF</t>
  </si>
  <si>
    <t>CREDICORP ACCIONES ASIA CREDICORP SAF</t>
  </si>
  <si>
    <t>CREDICORP ACCIONES EEUU CREDICORP SAF</t>
  </si>
  <si>
    <t>CREDICORP ACCIONES EUROPA CREDICORP SAF</t>
  </si>
  <si>
    <t>Credicorp Activos Preferentes CREDICORP SAF</t>
  </si>
  <si>
    <t>CREDICORP CONSER. MED. PLA. $ CREDICORP SAF</t>
  </si>
  <si>
    <t>CREDICORP SAF-CREDICORP CONSER. MED. PLA. $ SERIE A</t>
  </si>
  <si>
    <t>CREDICORP SAF-CREDICORP CONSER. MED. PLA. $ SERIE B</t>
  </si>
  <si>
    <t>CREDICORP DEUDA FLOTANTE CREDICORP SAF</t>
  </si>
  <si>
    <t>CREDICORP DEUDA HIGH YIELD CREDICORP SAF</t>
  </si>
  <si>
    <t>FdeF BBVA Generacion de Flujo BBVA SAF</t>
  </si>
  <si>
    <t>FdeF CC Acciones Innovacion CREDICORP SAF</t>
  </si>
  <si>
    <t>FdeF CRED ACC SECTOR SEGURID CREDICORP SAF</t>
  </si>
  <si>
    <t>FdeF Cred Renta Estrategica CREDICORP SAF</t>
  </si>
  <si>
    <t>FdeF IF Global Thematics INTERFONDO</t>
  </si>
  <si>
    <t>FdeF Promoinvest Acciones USA PROMOINVEST SAF</t>
  </si>
  <si>
    <t>FdF BBVA ACC MARCAS GLOB BBVA SAF</t>
  </si>
  <si>
    <t>FdF BBVA Acciones Glob Tecnol BBVA SAF</t>
  </si>
  <si>
    <t>FdF BBVA CONSERV GLO $ BBVA SAF</t>
  </si>
  <si>
    <t>FdF BBVA CONSERV GLO S/ BBVA SAF</t>
  </si>
  <si>
    <t>FdF BBVA Dinamico Global $ BBVA SAF</t>
  </si>
  <si>
    <t>FdF BBVA DINAMICO GLOBAL S/ BBVA SAF</t>
  </si>
  <si>
    <t>FdF BBVA Equilibrado Global $ BBVA SAF</t>
  </si>
  <si>
    <t>FdF BBVA Equilibrado Global S/ BBVA SAF</t>
  </si>
  <si>
    <t>FdF BBVA Renta Fija Mcdo Emerg BBVA SAF</t>
  </si>
  <si>
    <t>FdF BTG RENTA INTER I BTG PACTUAL PERU SAF</t>
  </si>
  <si>
    <t>BTG PACTUAL PERU SAF-FdF BTG RENTA INTER I SERIE A</t>
  </si>
  <si>
    <t>BTG PACTUAL PERU SAF-FdF BTG RENTA INTER I SERIE B</t>
  </si>
  <si>
    <t>FdF CC Acciones China CREDICORP SAF</t>
  </si>
  <si>
    <t>FdF CC Duración Objetivo Latam CREDICORP SAF</t>
  </si>
  <si>
    <t>FDF CRED CAP VISION II CREDICORP SAF</t>
  </si>
  <si>
    <t>FdF Cred. Tendencias Globales CREDICORP SAF</t>
  </si>
  <si>
    <t>FdF Credicorp Deuda Flexible CREDICORP SAF</t>
  </si>
  <si>
    <t>FdF Credicorp Impacto Sostenib CREDICORP SAF</t>
  </si>
  <si>
    <t>FDF DEUDA MERCADOS EMERG SCOTIA FONDOS</t>
  </si>
  <si>
    <t>FdF ED ACC GLOB OPT EL DORADO SAF</t>
  </si>
  <si>
    <t>EL DORADO SAF</t>
  </si>
  <si>
    <t>EL DORADO SAF-FdF ED ACC GLOB OPT SERIE A</t>
  </si>
  <si>
    <t>EL DORADO SAF-FdF ED ACC GLOB OPT SERIE B</t>
  </si>
  <si>
    <t>FdF El Dorado Instr Deuda EEUU EL DORADO SAF</t>
  </si>
  <si>
    <t>EL DORADO SAF-FdF El Dorado Instr Deuda EEUU SERIE A</t>
  </si>
  <si>
    <t>EL DORADO SAF-FdF El Dorado Instr Deuda EEUU SERIE B</t>
  </si>
  <si>
    <t>EL DORADO SAF-FdF El Dorado Instr Deuda EEUU SERIE I</t>
  </si>
  <si>
    <t>FdF Faro Deuda Global FARO CAPITAL SAFI</t>
  </si>
  <si>
    <t>FdF Faro Renta Variable Global FARO CAPITAL SAFI</t>
  </si>
  <si>
    <t>FDF IF ENFOQ MERC FRONT FMIV INTERFONDO</t>
  </si>
  <si>
    <t>FdF IF Enfoque Global INTERFONDO</t>
  </si>
  <si>
    <t>FdF IF Inversión EEUU FMIV INTERFONDO</t>
  </si>
  <si>
    <t>FDF IF INVERSIÓN INDIA FMIV INTERFONDO</t>
  </si>
  <si>
    <t>FdF IF RealState Student Accom INTERFONDO</t>
  </si>
  <si>
    <t>FDF IF 3 REND GLOB SOLES FMIV INTERFONDO</t>
  </si>
  <si>
    <t>FdF IF 4 REND GLOB S/ INTERFONDO</t>
  </si>
  <si>
    <t>FDF IF 41 REND GLOBAL 360 FMIV INTERFONDO</t>
  </si>
  <si>
    <t>FdF IF 42 REND GLOB 330 INTERFONDO</t>
  </si>
  <si>
    <t>FdF IF 43 REND GLOB 360 INTERFONDO</t>
  </si>
  <si>
    <t>FdF IF 44 REND GLOB 360 INTERFONDO</t>
  </si>
  <si>
    <t>FdF IF 45 REND GLOB 360 INTERFONDO</t>
  </si>
  <si>
    <t>FdF IF 46 REND GLOB 360 INTERFONDO</t>
  </si>
  <si>
    <t>FdF IF 47 REND GLOB 360 INTERFONDO</t>
  </si>
  <si>
    <t>FdF IF 48 REND GLOB 360 INTERFONDO</t>
  </si>
  <si>
    <t>FdF Part y Crec Int</t>
  </si>
  <si>
    <t>x-FdF Part y Crec Int SERIE A</t>
  </si>
  <si>
    <t>x-FdF Part y Crec Int SERIE B</t>
  </si>
  <si>
    <t>FdF Sura Corto Plazo Global FONDOS SURA SAF</t>
  </si>
  <si>
    <t>FdF SURA RENTA DOLARES FONDOS SURA SAF</t>
  </si>
  <si>
    <t>FONDOS SURA SAF-FdF SURA RENTA DOLARES SERIE A</t>
  </si>
  <si>
    <t>FONDOS SURA SAF-FdF SURA RENTA DOLARES SERIE B</t>
  </si>
  <si>
    <t>FF BBVA ACC GLOB MILLENNIALS BBVA SAF</t>
  </si>
  <si>
    <t>FF BBVA ACCIONES GLOB RE BBVA SAF</t>
  </si>
  <si>
    <t>FF BBVA DIST EST GLOBAL BBVA SAF</t>
  </si>
  <si>
    <t>FF BBVA DIST HIGH YIELD EEUU BBVA SAF</t>
  </si>
  <si>
    <t>FF CC RENTA GLOBAL INV GRADE CREDICORP SAF</t>
  </si>
  <si>
    <t>FF Creci Inmobiliario EEUU EL DORADO SAF</t>
  </si>
  <si>
    <t>EL DORADO SAF-FF Creci Inmobiliario EEUU SERIE A</t>
  </si>
  <si>
    <t>EL DORADO SAF-FF Creci Inmobiliario EEUU SERIE B</t>
  </si>
  <si>
    <t>Flip Cobra Achorada FdF FMIV INDEPENDIENTE SAF</t>
  </si>
  <si>
    <t>Flip Panda Zen FdF FMIV INDEPENDIENTE SAF</t>
  </si>
  <si>
    <t>INDEPENDIENTE SAF-Flip Panda Zen FdF FMIV SERIE A</t>
  </si>
  <si>
    <t>INDEPENDIENTE SAF-Flip Panda Zen FdF FMIV SERIE D</t>
  </si>
  <si>
    <t>FONDO D FONDOS DEUDA LATAM CREDICORP SAF</t>
  </si>
  <si>
    <t>Fondo de F. Cred. Cons. Global CREDICORP SAF</t>
  </si>
  <si>
    <t>PRUDENTIAL ESTR. DIST. GLOBAL PRUDENTIAL SAF</t>
  </si>
  <si>
    <t>PRUDENTIAL SAF-PRUDENTIAL ESTR. DIST. GLOBAL SERIE A</t>
  </si>
  <si>
    <t>PRUDENTIAL SAF-PRUDENTIAL ESTR. DIST. GLOBAL SERIE B</t>
  </si>
  <si>
    <t>PRUDENTIAL RV GLOBAL PRUDENTIAL SAF</t>
  </si>
  <si>
    <t>PRUDENTIAL SAF-PRUDENTIAL RV GLOBAL SERIE A</t>
  </si>
  <si>
    <t>PRUDENTIAL SAF-PRUDENTIAL RV GLOBAL SERIE B</t>
  </si>
  <si>
    <t>SCOTIA FF INSTITU RF GLOBAL SCOTIA FONDOS</t>
  </si>
  <si>
    <t>Scotia Fondo de F. Acc. Europa SCOTIA FONDOS</t>
  </si>
  <si>
    <t>SCOTIA FONDO DE F. ACC. US SCOTIA FONDOS</t>
  </si>
  <si>
    <t>SCOTIA FONDO DE F. DEUDA HY SCOTIA FONDOS</t>
  </si>
  <si>
    <t>Scotia Fondo de F. Deuda IG SCOTIA FONDOS</t>
  </si>
  <si>
    <t>SFdF Acciones Emergentes SCOTIA FONDOS</t>
  </si>
  <si>
    <t>SFdF DEUDA GLOB SCOTIA FONDOS</t>
  </si>
  <si>
    <t>SFdF Distributivo HY II SCOTIA FONDOS</t>
  </si>
  <si>
    <t>SFdF DISTRIBUTIVO IG SCOTIA FONDOS</t>
  </si>
  <si>
    <t>SURA ACC. NORTEAMERICANAS FONDOS SURA SAF</t>
  </si>
  <si>
    <t>SURA ACCIONES GLOBALES FONDOS SURA SAF</t>
  </si>
  <si>
    <t>SURA BONOS GLOBALES FONDOS SURA SAF</t>
  </si>
  <si>
    <t>FONDOS SURA SAF-SURA BONOS GLOBALES SERIE A</t>
  </si>
  <si>
    <t>FONDOS SURA SAF-SURA BONOS GLOBALES SERIE B</t>
  </si>
  <si>
    <t>SURA CAPITAL ESTRATEGICO I FONDOS SURA SAF</t>
  </si>
  <si>
    <t>FONDOS SURA SAF-SURA CAPITAL ESTRATEGICO I SERIE A</t>
  </si>
  <si>
    <t>FONDOS SURA SAF-SURA CAPITAL ESTRATEGICO I SERIE B</t>
  </si>
  <si>
    <t>SURA CAPITAL ESTRATEGICO II FONDOS SURA SAF</t>
  </si>
  <si>
    <t>FONDOS SURA SAF-SURA CAPITAL ESTRATEGICO II SERIE A</t>
  </si>
  <si>
    <t>FONDOS SURA SAF-SURA CAPITAL ESTRATEGICO II SERIE B</t>
  </si>
  <si>
    <t>SURA DEUDA PRIV. GLOBAL FONDOS SURA SAF</t>
  </si>
  <si>
    <t>Sura Real Estate Global Income FONDOS SURA SAF</t>
  </si>
  <si>
    <t>SURA SELECCION GLOBAL I FONDOS SURA SAF</t>
  </si>
  <si>
    <t>FONDOS SURA SAF-SURA SELECCION GLOBAL I SERIE A</t>
  </si>
  <si>
    <t>FONDOS SURA SAF-SURA SELECCION GLOBAL I SERIE B</t>
  </si>
  <si>
    <t>33 - Flexible Dólares</t>
  </si>
  <si>
    <t>BDC DEUDA DIVERSIFICADA FMIV BD CAPITAL SAF</t>
  </si>
  <si>
    <t>BD CAPITAL SAF</t>
  </si>
  <si>
    <t>SCOTIA DEPÓSITO DISPONIBLE $ SCOTIA FONDOS</t>
  </si>
  <si>
    <t>39 - Inst Deuda Duración Flexibl $</t>
  </si>
  <si>
    <t>BBVA Distributivo $ FMIV BBVA SAF</t>
  </si>
  <si>
    <t>BBVA DISTRIBUTIVO $ II BBVA SAF</t>
  </si>
  <si>
    <t>BBVA SUPER $ 22 BBVA SAF</t>
  </si>
  <si>
    <t>BBVA SUPER $ 23 BBVA SAF</t>
  </si>
  <si>
    <t>CC RENTA DOLARES 2Y II CREDICORP SAF</t>
  </si>
  <si>
    <t>CC RENTA DOLARES 3Y VI CREDICORP SAF</t>
  </si>
  <si>
    <t>CC RENTA DOLARES 3Y VII CREDICORP SAF</t>
  </si>
  <si>
    <t>CRED DEUDA CORP LATAM HY CREDICORP SAF</t>
  </si>
  <si>
    <t>IF Enfoque LATAM INTERFONDO</t>
  </si>
  <si>
    <t>IF LIBRE DISPONIBILIDAD INTERFONDO</t>
  </si>
  <si>
    <t>INTERFONDO-IF LIBRE DISPONIBILIDAD SERIE A</t>
  </si>
  <si>
    <t>INTERFONDO-IF LIBRE DISPONIBILIDAD SERIE B</t>
  </si>
  <si>
    <t>INTERFONDO-IF LIBRE DISPONIBILIDAD SERIE C</t>
  </si>
  <si>
    <t>40 - Inst Deuda Duración Flexibl S/</t>
  </si>
  <si>
    <t>CC 12M RENT OPT S/ INST 2 CREDICORP SAF</t>
  </si>
  <si>
    <t>FS PLAZO DEFIN S/ XI FONDOS SURA SAF</t>
  </si>
  <si>
    <t>IF LIBRE DISPONIBILIDAD S/. INTERFONDO</t>
  </si>
  <si>
    <t>INTERFONDO-IF LIBRE DISPONIBILIDAD S/. SERIE A</t>
  </si>
  <si>
    <t>INTERFONDO-IF LIBRE DISPONIBILIDAD S/. SERIE B</t>
  </si>
  <si>
    <t>INTERFONDO-IF LIBRE DISPONIBILIDAD S/. SERIE C</t>
  </si>
  <si>
    <t>SURA DEUDA SOBER. DISTRIB. S/ FONDOS SURA SAF</t>
  </si>
  <si>
    <t>SURA PLAZO DEFINIDO S/ IX FONDOS SURA SAF</t>
  </si>
  <si>
    <t>41 - Fondo Bursátil - ETF</t>
  </si>
  <si>
    <t>PERU SOBERANO VAN ECK ID ETF EL DORADO SAF</t>
  </si>
  <si>
    <t>VAN ECK EL DORADO PERU ETF EL DORADO SAF</t>
  </si>
  <si>
    <t>42 - Instrumento de Deuda</t>
  </si>
  <si>
    <t>BBVA SUPER S/ 1 BBVA SAF</t>
  </si>
  <si>
    <t>IGBVL: 13,366.86</t>
  </si>
  <si>
    <t>ISBVL: 18,732.83</t>
  </si>
  <si>
    <t>Mi Base</t>
  </si>
  <si>
    <t>Base SMV</t>
  </si>
  <si>
    <t>Etiquetas de fila</t>
  </si>
  <si>
    <t>Total general</t>
  </si>
  <si>
    <t>Suma de Valor Cuota</t>
  </si>
  <si>
    <t>Suma de Patrimonio</t>
  </si>
  <si>
    <t>Muy Corto Plazo</t>
  </si>
  <si>
    <t>Corto Plazo</t>
  </si>
  <si>
    <t>MCP</t>
  </si>
  <si>
    <t>-</t>
  </si>
  <si>
    <t>CC 24M CUP MEM $ 2 CREDICORP SAF</t>
  </si>
  <si>
    <t>CC 24M CUP MEM S/ 1 CREDICORP SAF</t>
  </si>
  <si>
    <t>CC 24M CUP MEM S/ 2 CREDICORP SAF</t>
  </si>
  <si>
    <t>CC 3M INV GLOB 10 CREDICORP SAF</t>
  </si>
  <si>
    <t>CC 3M INV GLOB 11 CREDICORP SAF</t>
  </si>
  <si>
    <t>CC 3M INV GLOB 12 CREDICORP SAF</t>
  </si>
  <si>
    <t>CC 3M INV GLOB 13 CREDICORP SAF</t>
  </si>
  <si>
    <t>CC 3M INV GLOB 14 CREDICORP SAF</t>
  </si>
  <si>
    <t>CC 3M INV GLOB 15 CREDICORP SAF</t>
  </si>
  <si>
    <t>CC 3M INV GLOB 8 CREDICORP SAF</t>
  </si>
  <si>
    <t>CC 3M INV GLOB 9 CREDICORP SAF</t>
  </si>
  <si>
    <t>IF V CAPITAL INTERFONDO</t>
  </si>
  <si>
    <t>SF INST DE REN $ XV SCOTIA FONDOS</t>
  </si>
  <si>
    <t>SF INST REN S/ 1Y VIII SCOTIA FONDOS</t>
  </si>
  <si>
    <t>SF INST REN S/ 6M SCOTIA FONDOS</t>
  </si>
  <si>
    <t>SF REN $ 6M 33 SCOTIA FONDOS</t>
  </si>
  <si>
    <t>SF REN $ 6M 34 SCOTIA FONDOS</t>
  </si>
  <si>
    <t>FDF FC FLEXIBLE FARO CAPITAL SAFI</t>
  </si>
  <si>
    <t>FS PLA DEF S/ 14 FONDOS SURA SAF</t>
  </si>
  <si>
    <t>CC 3M REN OPT S/ INST 1 CREDICORP SAF</t>
  </si>
  <si>
    <t>CC 6M REN OPT S/ INST 1 CREDICORP SAF</t>
  </si>
  <si>
    <t>FS PLA DEF S/ 16 FONDOS SURA SAF</t>
  </si>
  <si>
    <t>FS PLA DEF S/ 12 FONDOS SURA SAF</t>
  </si>
  <si>
    <t>FS PLA DEF S/ 13 FONDOS SURA SAF</t>
  </si>
  <si>
    <t>TIPOCAMBIO: 3.4260</t>
  </si>
  <si>
    <t>SURA ULTRA CASH SOLES FONDOS SURA SAF​</t>
  </si>
  <si>
    <t>BBVA RENTA CORTO PLAZO S/. BBVA SA</t>
  </si>
  <si>
    <t>SURA CORTO PLAZO SOLES FONDOS SURA SAF​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</si>
</sst>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%"/>
    <numFmt numFmtId="180" formatCode="0.0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7A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337AB6"/>
      </left>
      <right/>
      <top style="medium">
        <color rgb="FF337AB6"/>
      </top>
      <bottom/>
      <diagonal/>
    </border>
    <border>
      <left/>
      <right/>
      <top style="medium">
        <color rgb="FF337AB6"/>
      </top>
      <bottom/>
      <diagonal/>
    </border>
    <border>
      <left/>
      <right style="medium">
        <color rgb="FF337AB6"/>
      </right>
      <top style="medium">
        <color rgb="FF337AB6"/>
      </top>
      <bottom/>
      <diagonal/>
    </border>
    <border>
      <left style="medium">
        <color rgb="FF337AB6"/>
      </left>
      <right style="medium">
        <color rgb="FF337AB6"/>
      </right>
      <top style="medium">
        <color rgb="FF337AB6"/>
      </top>
      <bottom style="medium">
        <color rgb="FF337AB6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10" fontId="3" fillId="0" borderId="4" xfId="0" applyNumberFormat="1" applyFont="1" applyBorder="1" applyAlignment="1">
      <alignment wrapText="1"/>
    </xf>
    <xf numFmtId="4" fontId="3" fillId="0" borderId="4" xfId="0" applyNumberFormat="1" applyFont="1" applyBorder="1" applyAlignment="1">
      <alignment wrapText="1"/>
    </xf>
    <xf numFmtId="0" fontId="4" fillId="3" borderId="4" xfId="0" applyFont="1" applyFill="1" applyBorder="1" applyAlignment="1">
      <alignment wrapText="1"/>
    </xf>
    <xf numFmtId="14" fontId="4" fillId="3" borderId="4" xfId="0" applyNumberFormat="1" applyFont="1" applyFill="1" applyBorder="1" applyAlignment="1">
      <alignment wrapText="1"/>
    </xf>
    <xf numFmtId="10" fontId="4" fillId="3" borderId="4" xfId="0" applyNumberFormat="1" applyFont="1" applyFill="1" applyBorder="1" applyAlignment="1">
      <alignment wrapText="1"/>
    </xf>
    <xf numFmtId="4" fontId="4" fillId="3" borderId="4" xfId="0" applyNumberFormat="1" applyFont="1" applyFill="1" applyBorder="1" applyAlignment="1">
      <alignment wrapText="1"/>
    </xf>
    <xf numFmtId="0" fontId="3" fillId="0" borderId="0" xfId="0" applyFont="1"/>
    <xf numFmtId="0" fontId="0" fillId="4" borderId="0" xfId="0" applyFill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0" fontId="0" fillId="0" borderId="0" xfId="1" applyNumberFormat="1" applyFont="1"/>
    <xf numFmtId="164" fontId="0" fillId="0" borderId="0" xfId="0" applyNumberFormat="1"/>
    <xf numFmtId="3" fontId="0" fillId="0" borderId="0" xfId="0" applyNumberFormat="1"/>
    <xf numFmtId="0" fontId="0" fillId="0" borderId="0" xfId="0" applyNumberFormat="1"/>
    <xf numFmtId="180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17.673507060186" createdVersion="8" refreshedVersion="8" minRefreshableVersion="3" recordCount="296" xr:uid="{84784867-BB2C-4B13-8CE4-B233FD146181}">
  <cacheSource type="worksheet">
    <worksheetSource ref="A1:E297" sheet="Data"/>
  </cacheSource>
  <cacheFields count="8">
    <cacheField name="Fecha" numFmtId="14">
      <sharedItems containsSemiMixedTypes="0" containsNonDate="0" containsDate="1" containsString="0" minDate="2022-12-31T00:00:00" maxDate="2026-10-17T00:00:00" count="23">
        <d v="2022-12-31T00:00:00"/>
        <d v="2023-12-31T00:00:00"/>
        <d v="2024-12-31T00:00:00"/>
        <d v="2025-06-30T00:00:00"/>
        <d v="2025-07-31T00:00:00"/>
        <d v="2025-08-31T00:00:00"/>
        <d v="2025-09-30T00:00:00"/>
        <d v="2025-10-09T00:00:00"/>
        <d v="2025-10-16T00:00:00"/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09T00:00:00"/>
        <d v="2026-10-16T00:00:00"/>
      </sharedItems>
      <fieldGroup par="7"/>
    </cacheField>
    <cacheField name="ID" numFmtId="0">
      <sharedItems count="25">
        <s v="BBVACASH"/>
        <s v="BBVARENTACORTOPLAZO"/>
        <s v="BBVATESORERIASOLES"/>
        <s v="CREDCONSERCORTOPLAZO"/>
        <s v="CREDCONSERVADLIQUIDEZ"/>
        <s v="SFLiquidez"/>
        <s v="SURACORTOPLAZOSOLES"/>
        <s v="SURAULTRACASHSOLES"/>
        <s v="BBVARENTAMEDPLAZO"/>
        <s v="CCMEDPLAZO"/>
        <s v="IFMEDIANOPLAZO"/>
        <s v="SURARENTASOLES"/>
        <s v="ETFPESOV"/>
        <s v="BBVA CASH SOLES BBVA SAF" u="1"/>
        <s v="BBVA RENTA CORTO PLAZO S/. BBVA SAF" u="1"/>
        <s v="BBVA TESORERIA SOLES FMIV BBVA SAF" u="1"/>
        <s v="CRED. CONSER. CORTO PLAZO S/ CREDICORP SAF" u="1"/>
        <s v="CRED. CONSERVAD. LIQUIDEZ S/ CREDICORP SAF" u="1"/>
        <s v="SF Liquidez S/. SCOTIA FONDOS" u="1"/>
        <s v="SURA CORTO PLAZO SOLES FONDOS SURA SAF" u="1"/>
        <s v="SURA ULTRA CASH SOLES FONDOS SURA SAF" u="1"/>
        <s v="BBVA RENTA MED. PLAZO S/. BBVA SAF" u="1"/>
        <s v="CC CONSERV. MED. PLAZO S/. CREDICORP SAF" u="1"/>
        <s v="IF MEDIANO PLAZO SOLES INTERFONDO" u="1"/>
        <s v="SURA RENTA SOLES FONDOS SURA SAF" u="1"/>
      </sharedItems>
    </cacheField>
    <cacheField name="Valor Cuota" numFmtId="0">
      <sharedItems containsString="0" containsBlank="1" containsNumber="1" minValue="10.79655926" maxValue="413.52704188000001"/>
    </cacheField>
    <cacheField name="Patrimonio" numFmtId="0">
      <sharedItems containsString="0" containsBlank="1" containsNumber="1" minValue="47421040.450000003" maxValue="3481232200.6300001"/>
    </cacheField>
    <cacheField name="Partícipes" numFmtId="0">
      <sharedItems containsString="0" containsBlank="1" containsNumber="1" containsInteger="1" minValue="178" maxValue="81044"/>
    </cacheField>
    <cacheField name="Meses (Fecha)" numFmtId="0" databaseField="0">
      <fieldGroup base="0">
        <rangePr groupBy="months" startDate="2022-12-31T00:00:00" endDate="2026-10-17T00:00:00"/>
        <groupItems count="14">
          <s v="&lt;31/12/2022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7/10/2026"/>
        </groupItems>
      </fieldGroup>
    </cacheField>
    <cacheField name="Trimestres (Fecha)" numFmtId="0" databaseField="0">
      <fieldGroup base="0">
        <rangePr groupBy="quarters" startDate="2022-12-31T00:00:00" endDate="2026-10-17T00:00:00"/>
        <groupItems count="6">
          <s v="&lt;31/12/2022"/>
          <s v="Trim.1"/>
          <s v="Trim.2"/>
          <s v="Trim.3"/>
          <s v="Trim.4"/>
          <s v="&gt;17/10/2026"/>
        </groupItems>
      </fieldGroup>
    </cacheField>
    <cacheField name="Años (Fecha)" numFmtId="0" databaseField="0">
      <fieldGroup base="0">
        <rangePr groupBy="years" startDate="2022-12-31T00:00:00" endDate="2026-10-17T00:00:00"/>
        <groupItems count="7">
          <s v="&lt;31/12/2022"/>
          <s v="2022"/>
          <s v="2023"/>
          <s v="2024"/>
          <s v="2025"/>
          <s v="2026"/>
          <s v="&gt;17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x v="0"/>
    <x v="0"/>
    <n v="144.59971811"/>
    <n v="1780595701.9300001"/>
    <n v="71633"/>
  </r>
  <r>
    <x v="0"/>
    <x v="1"/>
    <n v="173.71720182000001"/>
    <n v="235607692.11000001"/>
    <n v="6188"/>
  </r>
  <r>
    <x v="0"/>
    <x v="2"/>
    <n v="111.44877950999999"/>
    <n v="164874402.99000001"/>
    <n v="191"/>
  </r>
  <r>
    <x v="0"/>
    <x v="3"/>
    <n v="135.21020648000001"/>
    <n v="476767647.56"/>
    <n v="10418"/>
  </r>
  <r>
    <x v="0"/>
    <x v="4"/>
    <n v="296.69448505000003"/>
    <n v="1497806644.1800001"/>
    <n v="28520"/>
  </r>
  <r>
    <x v="0"/>
    <x v="5"/>
    <m/>
    <m/>
    <m/>
  </r>
  <r>
    <x v="0"/>
    <x v="6"/>
    <n v="167.8219181"/>
    <n v="181420233.74000001"/>
    <n v="827"/>
  </r>
  <r>
    <x v="0"/>
    <x v="7"/>
    <n v="144.00388140000001"/>
    <n v="573137696.12"/>
    <n v="1948"/>
  </r>
  <r>
    <x v="0"/>
    <x v="8"/>
    <n v="317.5136152"/>
    <n v="75204728.650000006"/>
    <n v="4096"/>
  </r>
  <r>
    <x v="0"/>
    <x v="9"/>
    <n v="177.00756683"/>
    <n v="329107281.64999998"/>
    <n v="5181"/>
  </r>
  <r>
    <x v="0"/>
    <x v="10"/>
    <n v="186.83269999999999"/>
    <n v="52576790.329999998"/>
    <n v="3251"/>
  </r>
  <r>
    <x v="0"/>
    <x v="11"/>
    <n v="195.25890920000001"/>
    <n v="47421040.450000003"/>
    <n v="620"/>
  </r>
  <r>
    <x v="1"/>
    <x v="0"/>
    <n v="155.05096872999999"/>
    <n v="1757718562.8199999"/>
    <n v="67700"/>
  </r>
  <r>
    <x v="1"/>
    <x v="1"/>
    <n v="187.24948190999999"/>
    <n v="223875481.59999999"/>
    <n v="4845"/>
  </r>
  <r>
    <x v="1"/>
    <x v="2"/>
    <n v="119.44997167"/>
    <n v="87141002.849999994"/>
    <n v="178"/>
  </r>
  <r>
    <x v="1"/>
    <x v="3"/>
    <n v="145.55334999999999"/>
    <n v="477245700.51999998"/>
    <n v="10554"/>
  </r>
  <r>
    <x v="1"/>
    <x v="4"/>
    <n v="318.38266599999997"/>
    <n v="1640067045.1600001"/>
    <n v="30709"/>
  </r>
  <r>
    <x v="1"/>
    <x v="5"/>
    <n v="10.79655926"/>
    <n v="722718733.80999994"/>
    <n v="6888"/>
  </r>
  <r>
    <x v="1"/>
    <x v="6"/>
    <n v="179.23148420000001"/>
    <n v="75646215.840000004"/>
    <n v="685"/>
  </r>
  <r>
    <x v="1"/>
    <x v="7"/>
    <n v="154.70245499999999"/>
    <n v="921797638.79999995"/>
    <n v="2549"/>
  </r>
  <r>
    <x v="1"/>
    <x v="8"/>
    <n v="350.77003454999999"/>
    <n v="113231072.78"/>
    <n v="4407"/>
  </r>
  <r>
    <x v="1"/>
    <x v="9"/>
    <n v="193.46580499999999"/>
    <n v="322695223.30000001"/>
    <n v="4544"/>
  </r>
  <r>
    <x v="1"/>
    <x v="10"/>
    <n v="204.38290000000001"/>
    <n v="48272534.020000003"/>
    <n v="3225"/>
  </r>
  <r>
    <x v="1"/>
    <x v="11"/>
    <n v="210.82617690000001"/>
    <n v="62212656.939999998"/>
    <n v="605"/>
  </r>
  <r>
    <x v="2"/>
    <x v="0"/>
    <n v="163.61348584999999"/>
    <n v="2785813379.1700001"/>
    <n v="75933"/>
  </r>
  <r>
    <x v="2"/>
    <x v="1"/>
    <n v="197.93033137"/>
    <n v="487072861.54000002"/>
    <n v="5732"/>
  </r>
  <r>
    <x v="2"/>
    <x v="2"/>
    <n v="126.22174136"/>
    <n v="291604962.11000001"/>
    <n v="503"/>
  </r>
  <r>
    <x v="2"/>
    <x v="3"/>
    <n v="154.47121799999999"/>
    <n v="876778097.27999997"/>
    <n v="11126"/>
  </r>
  <r>
    <x v="2"/>
    <x v="4"/>
    <n v="336.16375499999998"/>
    <n v="2262660758.9099998"/>
    <n v="33259"/>
  </r>
  <r>
    <x v="2"/>
    <x v="5"/>
    <n v="11.34850312"/>
    <n v="1199414211.3900001"/>
    <n v="15968"/>
  </r>
  <r>
    <x v="2"/>
    <x v="6"/>
    <n v="190.13847939999999"/>
    <n v="229196493.75999999"/>
    <n v="837"/>
  </r>
  <r>
    <x v="2"/>
    <x v="7"/>
    <n v="163.48415209999999"/>
    <n v="1563120388.29"/>
    <n v="2645"/>
  </r>
  <r>
    <x v="2"/>
    <x v="8"/>
    <n v="372.77834658"/>
    <n v="236985701.34999999"/>
    <n v="6808"/>
  </r>
  <r>
    <x v="2"/>
    <x v="9"/>
    <n v="207.68079700000001"/>
    <n v="476508901.11000001"/>
    <n v="5366"/>
  </r>
  <r>
    <x v="2"/>
    <x v="10"/>
    <n v="217.68049999999999"/>
    <n v="59979894.689999998"/>
    <n v="3421"/>
  </r>
  <r>
    <x v="2"/>
    <x v="11"/>
    <n v="224.39302129999999"/>
    <n v="109615940.83"/>
    <n v="842"/>
  </r>
  <r>
    <x v="3"/>
    <x v="0"/>
    <n v="167.07511972"/>
    <n v="3102255970.8000002"/>
    <n v="80880"/>
  </r>
  <r>
    <x v="3"/>
    <x v="1"/>
    <n v="203.39865723"/>
    <n v="713327723.94000006"/>
    <n v="6867"/>
  </r>
  <r>
    <x v="3"/>
    <x v="2"/>
    <n v="128.97037555"/>
    <n v="298446011.36000001"/>
    <n v="586"/>
  </r>
  <r>
    <x v="3"/>
    <x v="3"/>
    <n v="158.32547199999999"/>
    <n v="1001694254.91"/>
    <n v="11741"/>
  </r>
  <r>
    <x v="3"/>
    <x v="4"/>
    <n v="343.86480699999998"/>
    <n v="2766838110.2399998"/>
    <n v="35316"/>
  </r>
  <r>
    <x v="3"/>
    <x v="5"/>
    <n v="11.597048770000001"/>
    <n v="1266987358.23"/>
    <n v="17865"/>
  </r>
  <r>
    <x v="3"/>
    <x v="6"/>
    <n v="194.37889050000001"/>
    <n v="210800593.33000001"/>
    <n v="904"/>
  </r>
  <r>
    <x v="3"/>
    <x v="7"/>
    <n v="167.17190740000001"/>
    <n v="1345605629.5799999"/>
    <n v="2282"/>
  </r>
  <r>
    <x v="3"/>
    <x v="8"/>
    <n v="387.61274229999998"/>
    <n v="301355442.52999997"/>
    <n v="8012"/>
  </r>
  <r>
    <x v="3"/>
    <x v="9"/>
    <n v="215.27327199999999"/>
    <n v="614074843.98000002"/>
    <n v="6226"/>
  </r>
  <r>
    <x v="3"/>
    <x v="10"/>
    <n v="224.72149999999999"/>
    <n v="76367739.25"/>
    <n v="3607"/>
  </r>
  <r>
    <x v="3"/>
    <x v="11"/>
    <n v="231.62023500000001"/>
    <n v="108659193.23"/>
    <n v="859"/>
  </r>
  <r>
    <x v="3"/>
    <x v="12"/>
    <n v="104.077"/>
    <n v="160538836"/>
    <n v="195"/>
  </r>
  <r>
    <x v="4"/>
    <x v="0"/>
    <n v="167.64956842999999"/>
    <n v="3078642149.5"/>
    <n v="81044"/>
  </r>
  <r>
    <x v="4"/>
    <x v="1"/>
    <n v="204.37856231999999"/>
    <n v="799486379.04999995"/>
    <n v="7016"/>
  </r>
  <r>
    <x v="4"/>
    <x v="2"/>
    <n v="129.42988886000001"/>
    <n v="294789962.27999997"/>
    <n v="576"/>
  </r>
  <r>
    <x v="4"/>
    <x v="3"/>
    <n v="158.988519"/>
    <n v="1031033582.17"/>
    <n v="11947"/>
  </r>
  <r>
    <x v="4"/>
    <x v="4"/>
    <n v="345.110997"/>
    <n v="2536105970.04"/>
    <n v="35699"/>
  </r>
  <r>
    <x v="4"/>
    <x v="5"/>
    <n v="11.63921322"/>
    <n v="1251580814.6700001"/>
    <n v="17766"/>
  </r>
  <r>
    <x v="4"/>
    <x v="6"/>
    <n v="195.18316189999999"/>
    <n v="229817708.03"/>
    <n v="920"/>
  </r>
  <r>
    <x v="4"/>
    <x v="7"/>
    <n v="167.79395239999999"/>
    <n v="1396545851.9300001"/>
    <n v="2244"/>
  </r>
  <r>
    <x v="4"/>
    <x v="8"/>
    <n v="390.59586528"/>
    <n v="320206500.63999999"/>
    <n v="8295"/>
  </r>
  <r>
    <x v="4"/>
    <x v="9"/>
    <n v="216.53612899999999"/>
    <n v="646898858.19000006"/>
    <n v="6459"/>
  </r>
  <r>
    <x v="4"/>
    <x v="10"/>
    <n v="225.9716"/>
    <n v="85025969.689999998"/>
    <n v="3704"/>
  </r>
  <r>
    <x v="4"/>
    <x v="11"/>
    <n v="232.6416213"/>
    <n v="112822044.2"/>
    <n v="874"/>
  </r>
  <r>
    <x v="4"/>
    <x v="12"/>
    <n v="104.78189999999999"/>
    <n v="161626065.99000001"/>
    <n v="208"/>
  </r>
  <r>
    <x v="5"/>
    <x v="0"/>
    <n v="168.23558263000001"/>
    <n v="3015298835.8299999"/>
    <n v="80761"/>
  </r>
  <r>
    <x v="5"/>
    <x v="1"/>
    <n v="205.39002556"/>
    <n v="897991417.98000002"/>
    <n v="7099"/>
  </r>
  <r>
    <x v="5"/>
    <x v="2"/>
    <n v="129.88868518000001"/>
    <n v="301790271.91000003"/>
    <n v="562"/>
  </r>
  <r>
    <x v="5"/>
    <x v="3"/>
    <n v="159.74084300000001"/>
    <n v="1076884783.3499999"/>
    <n v="12131"/>
  </r>
  <r>
    <x v="5"/>
    <x v="4"/>
    <n v="346.30228299999999"/>
    <n v="2617465131.8000002"/>
    <n v="35775"/>
  </r>
  <r>
    <x v="5"/>
    <x v="5"/>
    <n v="11.681476330000001"/>
    <n v="1217600708.01"/>
    <n v="17560"/>
  </r>
  <r>
    <x v="5"/>
    <x v="6"/>
    <n v="195.87096030000001"/>
    <n v="277996661.42000002"/>
    <n v="940"/>
  </r>
  <r>
    <x v="5"/>
    <x v="7"/>
    <n v="168.4135532"/>
    <n v="1473308890.9300001"/>
    <n v="2207"/>
  </r>
  <r>
    <x v="5"/>
    <x v="8"/>
    <n v="393.76626654"/>
    <n v="349904163.51999998"/>
    <n v="8460"/>
  </r>
  <r>
    <x v="5"/>
    <x v="9"/>
    <n v="217.83012500000001"/>
    <n v="676057856.75999999"/>
    <n v="6674"/>
  </r>
  <r>
    <x v="5"/>
    <x v="10"/>
    <n v="227.23140000000001"/>
    <n v="91608131.040000007"/>
    <n v="3783"/>
  </r>
  <r>
    <x v="5"/>
    <x v="11"/>
    <n v="234.08105040000001"/>
    <n v="119077037.17"/>
    <n v="887"/>
  </r>
  <r>
    <x v="5"/>
    <x v="12"/>
    <n v="105.94927979000001"/>
    <n v="138263810.13"/>
    <n v="213"/>
  </r>
  <r>
    <x v="6"/>
    <x v="0"/>
    <n v="168.79042254999999"/>
    <n v="2918602637.7800002"/>
    <n v="80189"/>
  </r>
  <r>
    <x v="6"/>
    <x v="1"/>
    <n v="206.33787049"/>
    <n v="916202232.72000003"/>
    <n v="7193"/>
  </r>
  <r>
    <x v="6"/>
    <x v="2"/>
    <n v="130.33427861000001"/>
    <n v="271823785.62"/>
    <n v="552"/>
  </r>
  <r>
    <x v="6"/>
    <x v="3"/>
    <n v="160.29543200000001"/>
    <n v="1186789207.8"/>
    <n v="12368"/>
  </r>
  <r>
    <x v="6"/>
    <x v="4"/>
    <n v="347.43418400000002"/>
    <n v="2712754224.9499998"/>
    <n v="36031"/>
  </r>
  <r>
    <x v="6"/>
    <x v="5"/>
    <n v="11.72061527"/>
    <n v="1201267646.29"/>
    <n v="17223"/>
  </r>
  <r>
    <x v="6"/>
    <x v="6"/>
    <n v="196.5501486"/>
    <n v="330152510.06999999"/>
    <n v="942"/>
  </r>
  <r>
    <x v="6"/>
    <x v="7"/>
    <n v="169.00409590000001"/>
    <n v="1416869051.3599999"/>
    <n v="2160"/>
  </r>
  <r>
    <x v="6"/>
    <x v="8"/>
    <n v="397.25437890000001"/>
    <n v="379870300.24000001"/>
    <n v="8738"/>
  </r>
  <r>
    <x v="6"/>
    <x v="9"/>
    <n v="219.155531"/>
    <n v="712552235.21000004"/>
    <n v="6856"/>
  </r>
  <r>
    <x v="6"/>
    <x v="10"/>
    <n v="228.79310000000001"/>
    <n v="97265531.599999994"/>
    <n v="3924"/>
  </r>
  <r>
    <x v="6"/>
    <x v="11"/>
    <n v="235.7956131"/>
    <n v="124571303.27"/>
    <n v="897"/>
  </r>
  <r>
    <x v="6"/>
    <x v="12"/>
    <n v="107.84736325999999"/>
    <n v="163658374"/>
    <n v="225"/>
  </r>
  <r>
    <x v="7"/>
    <x v="0"/>
    <n v="168.95558728"/>
    <n v="2928603624.1599998"/>
    <n v="80015"/>
  </r>
  <r>
    <x v="7"/>
    <x v="1"/>
    <n v="206.46415440999999"/>
    <n v="964581522.33000004"/>
    <n v="7202"/>
  </r>
  <r>
    <x v="7"/>
    <x v="2"/>
    <n v="130.46580786999999"/>
    <n v="293106174.69999999"/>
    <n v="546"/>
  </r>
  <r>
    <x v="7"/>
    <x v="3"/>
    <n v="160.45289"/>
    <n v="1210142183.6500001"/>
    <n v="12450"/>
  </r>
  <r>
    <x v="7"/>
    <x v="4"/>
    <n v="347.74867799999998"/>
    <n v="2695835758.3099999"/>
    <n v="36224"/>
  </r>
  <r>
    <x v="7"/>
    <x v="5"/>
    <n v="11.731005850000001"/>
    <n v="1196654662"/>
    <n v="17096"/>
  </r>
  <r>
    <x v="7"/>
    <x v="6"/>
    <n v="196.71769019999999"/>
    <n v="325599215.44"/>
    <n v="936"/>
  </r>
  <r>
    <x v="7"/>
    <x v="7"/>
    <n v="169.17041"/>
    <n v="1561263617.4000001"/>
    <n v="2168"/>
  </r>
  <r>
    <x v="7"/>
    <x v="8"/>
    <n v="396.93344365000002"/>
    <n v="386918774.95999998"/>
    <n v="8808"/>
  </r>
  <r>
    <x v="7"/>
    <x v="9"/>
    <n v="218.864071"/>
    <n v="727217160.51999998"/>
    <n v="6888"/>
  </r>
  <r>
    <x v="7"/>
    <x v="10"/>
    <n v="228.6627"/>
    <n v="101949300.45"/>
    <n v="3939"/>
  </r>
  <r>
    <x v="7"/>
    <x v="11"/>
    <n v="235.78312320000001"/>
    <n v="125273127.11"/>
    <n v="901"/>
  </r>
  <r>
    <x v="7"/>
    <x v="12"/>
    <n v="107.89952589000001"/>
    <n v="113833999.81"/>
    <n v="216"/>
  </r>
  <r>
    <x v="8"/>
    <x v="0"/>
    <n v="169.08254138999999"/>
    <n v="2914627174.0599999"/>
    <n v="79820"/>
  </r>
  <r>
    <x v="8"/>
    <x v="1"/>
    <n v="206.54572515000001"/>
    <n v="972196309.63999999"/>
    <n v="7193"/>
  </r>
  <r>
    <x v="8"/>
    <x v="2"/>
    <n v="130.56815967"/>
    <n v="296784355.68000001"/>
    <n v="544"/>
  </r>
  <r>
    <x v="8"/>
    <x v="3"/>
    <n v="160.52851999999999"/>
    <n v="1212087976.1900001"/>
    <n v="12477"/>
  </r>
  <r>
    <x v="8"/>
    <x v="4"/>
    <n v="347.98733499999997"/>
    <n v="2651006720.9400001"/>
    <n v="36406"/>
  </r>
  <r>
    <x v="8"/>
    <x v="5"/>
    <n v="11.739330109999999"/>
    <n v="1191454547.5899999"/>
    <n v="16987"/>
  </r>
  <r>
    <x v="8"/>
    <x v="6"/>
    <n v="196.89076600000001"/>
    <n v="318362135.75999999"/>
    <n v="936"/>
  </r>
  <r>
    <x v="8"/>
    <x v="7"/>
    <n v="169.2899333"/>
    <n v="1500452855.6900001"/>
    <n v="2157"/>
  </r>
  <r>
    <x v="8"/>
    <x v="8"/>
    <n v="397.37435775"/>
    <n v="387165396.61000001"/>
    <n v="8819"/>
  </r>
  <r>
    <x v="8"/>
    <x v="9"/>
    <n v="219.21646100000001"/>
    <n v="723641650.04999995"/>
    <n v="6907"/>
  </r>
  <r>
    <x v="8"/>
    <x v="10"/>
    <n v="229.0359"/>
    <n v="102843532.77"/>
    <n v="3951"/>
  </r>
  <r>
    <x v="8"/>
    <x v="11"/>
    <n v="236.17500010000001"/>
    <n v="124627197.23999999"/>
    <n v="897"/>
  </r>
  <r>
    <x v="8"/>
    <x v="12"/>
    <n v="107.59950000000001"/>
    <n v="163282307"/>
    <n v="239"/>
  </r>
  <r>
    <x v="9"/>
    <x v="0"/>
    <n v="169.34801067999999"/>
    <n v="2881515647.71"/>
    <n v="79413"/>
  </r>
  <r>
    <x v="9"/>
    <x v="1"/>
    <n v="206.89603886"/>
    <n v="972485492.37"/>
    <n v="7201"/>
  </r>
  <r>
    <x v="9"/>
    <x v="2"/>
    <n v="130.78976039"/>
    <n v="256081799.15000001"/>
    <n v="539"/>
  </r>
  <r>
    <x v="9"/>
    <x v="3"/>
    <n v="160.68935400000001"/>
    <n v="1188379776.6099999"/>
    <n v="12553"/>
  </r>
  <r>
    <x v="9"/>
    <x v="4"/>
    <n v="348.520308"/>
    <n v="2661416365.75"/>
    <n v="36809"/>
  </r>
  <r>
    <x v="9"/>
    <x v="5"/>
    <n v="11.75824705"/>
    <n v="1156942034.77"/>
    <n v="16847"/>
  </r>
  <r>
    <x v="9"/>
    <x v="6"/>
    <n v="197.17737410000001"/>
    <n v="309110107.35000002"/>
    <n v="928"/>
  </r>
  <r>
    <x v="9"/>
    <x v="7"/>
    <n v="169.5712072"/>
    <n v="1504501508"/>
    <n v="2132"/>
  </r>
  <r>
    <x v="9"/>
    <x v="8"/>
    <n v="398.47251691000002"/>
    <n v="396705750.75"/>
    <n v="8860"/>
  </r>
  <r>
    <x v="9"/>
    <x v="9"/>
    <n v="219.630042"/>
    <n v="734812669.24000001"/>
    <n v="6997"/>
  </r>
  <r>
    <x v="9"/>
    <x v="10"/>
    <n v="229.2867"/>
    <n v="103939528.25"/>
    <n v="3972"/>
  </r>
  <r>
    <x v="9"/>
    <x v="11"/>
    <n v="236.33786749999999"/>
    <n v="125768006.2"/>
    <n v="892"/>
  </r>
  <r>
    <x v="9"/>
    <x v="12"/>
    <n v="108.20357921"/>
    <n v="164469440"/>
    <n v="240"/>
  </r>
  <r>
    <x v="10"/>
    <x v="0"/>
    <n v="169.89725994"/>
    <n v="2774755450.3899999"/>
    <n v="78693"/>
  </r>
  <r>
    <x v="10"/>
    <x v="1"/>
    <n v="207.59373528"/>
    <n v="927872648.64999998"/>
    <n v="7160"/>
  </r>
  <r>
    <x v="10"/>
    <x v="2"/>
    <n v="131.23363684"/>
    <n v="251796267.63"/>
    <n v="535"/>
  </r>
  <r>
    <x v="10"/>
    <x v="3"/>
    <n v="161.28463400000001"/>
    <n v="1187961385.03"/>
    <n v="12776"/>
  </r>
  <r>
    <x v="10"/>
    <x v="4"/>
    <n v="349.62951199999998"/>
    <n v="2707411558.3099999"/>
    <n v="37790"/>
  </r>
  <r>
    <x v="10"/>
    <x v="5"/>
    <n v="11.79905789"/>
    <n v="1148623015.5899999"/>
    <n v="16641"/>
  </r>
  <r>
    <x v="10"/>
    <x v="6"/>
    <n v="197.84052919999999"/>
    <n v="270640934.47000003"/>
    <n v="916"/>
  </r>
  <r>
    <x v="10"/>
    <x v="7"/>
    <n v="170.1964116"/>
    <n v="1402076867.8699999"/>
    <n v="2103"/>
  </r>
  <r>
    <x v="10"/>
    <x v="8"/>
    <n v="400.43885283999998"/>
    <n v="413932498.5"/>
    <n v="8911"/>
  </r>
  <r>
    <x v="10"/>
    <x v="9"/>
    <n v="220.76745099999999"/>
    <n v="761136369.88999999"/>
    <n v="7209"/>
  </r>
  <r>
    <x v="10"/>
    <x v="10"/>
    <n v="230.49469999999999"/>
    <n v="109662203.91"/>
    <n v="4140"/>
  </r>
  <r>
    <x v="10"/>
    <x v="11"/>
    <n v="237.84235090000001"/>
    <n v="127028257.98999999"/>
    <n v="905"/>
  </r>
  <r>
    <x v="10"/>
    <x v="12"/>
    <n v="109.71508005"/>
    <n v="167041209"/>
    <n v="294"/>
  </r>
  <r>
    <x v="11"/>
    <x v="0"/>
    <n v="170.46159245999999"/>
    <n v="2757505401.1999998"/>
    <n v="78091"/>
  </r>
  <r>
    <x v="11"/>
    <x v="1"/>
    <n v="208.31806234999999"/>
    <n v="918868055.85000002"/>
    <n v="7149"/>
  </r>
  <r>
    <x v="11"/>
    <x v="2"/>
    <n v="131.6919245"/>
    <n v="256864855.19"/>
    <n v="519"/>
  </r>
  <r>
    <x v="11"/>
    <x v="3"/>
    <n v="161.838584"/>
    <n v="1215687489.1700001"/>
    <n v="12994"/>
  </r>
  <r>
    <x v="11"/>
    <x v="4"/>
    <n v="350.75661400000001"/>
    <n v="2704117777.5900002"/>
    <n v="38857"/>
  </r>
  <r>
    <x v="11"/>
    <x v="5"/>
    <n v="11.838826660000001"/>
    <n v="1133807674.1700001"/>
    <n v="16495"/>
  </r>
  <r>
    <x v="11"/>
    <x v="6"/>
    <n v="198.572138"/>
    <n v="284653202.20999998"/>
    <n v="908"/>
  </r>
  <r>
    <x v="11"/>
    <x v="7"/>
    <n v="170.7741771"/>
    <n v="1440431627.4200001"/>
    <n v="2065"/>
  </r>
  <r>
    <x v="11"/>
    <x v="8"/>
    <n v="402.45125322000001"/>
    <n v="435072515.97000003"/>
    <n v="8934"/>
  </r>
  <r>
    <x v="11"/>
    <x v="9"/>
    <n v="221.85736299999999"/>
    <n v="798725071.94000006"/>
    <n v="7502"/>
  </r>
  <r>
    <x v="11"/>
    <x v="10"/>
    <n v="231.2962"/>
    <n v="113809087.08"/>
    <n v="4383"/>
  </r>
  <r>
    <x v="11"/>
    <x v="11"/>
    <n v="239.07441919999999"/>
    <n v="130310931.52"/>
    <n v="915"/>
  </r>
  <r>
    <x v="11"/>
    <x v="12"/>
    <n v="110.61604921999999"/>
    <n v="167859855"/>
    <n v="328"/>
  </r>
  <r>
    <x v="12"/>
    <x v="0"/>
    <n v="171.02995018999999"/>
    <n v="2769789323.1599998"/>
    <n v="77713"/>
  </r>
  <r>
    <x v="12"/>
    <x v="1"/>
    <n v="209.35727355"/>
    <n v="948054761.87"/>
    <n v="7228"/>
  </r>
  <r>
    <x v="12"/>
    <x v="2"/>
    <n v="132.14481548000001"/>
    <n v="250908393.58000001"/>
    <n v="518"/>
  </r>
  <r>
    <x v="12"/>
    <x v="3"/>
    <n v="162.52818600000001"/>
    <n v="1251311163.75"/>
    <n v="13198"/>
  </r>
  <r>
    <x v="12"/>
    <x v="4"/>
    <n v="351.96363200000002"/>
    <n v="2742090456.1100001"/>
    <n v="39825"/>
  </r>
  <r>
    <x v="12"/>
    <x v="5"/>
    <n v="11.884595190000001"/>
    <n v="1133474038.6800001"/>
    <n v="16226"/>
  </r>
  <r>
    <x v="12"/>
    <x v="6"/>
    <n v="199.39653469999999"/>
    <n v="310788098.92000002"/>
    <n v="918"/>
  </r>
  <r>
    <x v="12"/>
    <x v="7"/>
    <n v="171.45064619999999"/>
    <n v="1505159651.4200001"/>
    <n v="2053"/>
  </r>
  <r>
    <x v="12"/>
    <x v="8"/>
    <n v="404.55440390000001"/>
    <n v="464639503.13"/>
    <n v="8989"/>
  </r>
  <r>
    <x v="12"/>
    <x v="9"/>
    <n v="223.126869"/>
    <n v="828997058.11000001"/>
    <n v="7686"/>
  </r>
  <r>
    <x v="12"/>
    <x v="10"/>
    <n v="232.62530000000001"/>
    <n v="114791567.48"/>
    <n v="4526"/>
  </r>
  <r>
    <x v="12"/>
    <x v="11"/>
    <n v="240.5238555"/>
    <n v="132005986.44"/>
    <n v="922"/>
  </r>
  <r>
    <x v="12"/>
    <x v="12"/>
    <n v="111.64530344000001"/>
    <n v="171096427.52000001"/>
    <n v="360"/>
  </r>
  <r>
    <x v="13"/>
    <x v="0"/>
    <n v="171.51920490000001"/>
    <n v="2760102537.9200001"/>
    <n v="77535"/>
  </r>
  <r>
    <x v="13"/>
    <x v="1"/>
    <n v="210.11623319"/>
    <n v="967078061.39999998"/>
    <n v="7337"/>
  </r>
  <r>
    <x v="13"/>
    <x v="2"/>
    <n v="132.54790410999999"/>
    <n v="243198553.69999999"/>
    <n v="510"/>
  </r>
  <r>
    <x v="13"/>
    <x v="3"/>
    <n v="163.04280900000001"/>
    <n v="1305521836.0699999"/>
    <n v="13470"/>
  </r>
  <r>
    <x v="13"/>
    <x v="4"/>
    <n v="352.93574599999999"/>
    <n v="2730394671.73"/>
    <n v="40490"/>
  </r>
  <r>
    <x v="13"/>
    <x v="5"/>
    <n v="11.917306140000001"/>
    <n v="1153635866.1700001"/>
    <n v="16227"/>
  </r>
  <r>
    <x v="13"/>
    <x v="6"/>
    <n v="200.05883850000001"/>
    <n v="309551670.10000002"/>
    <n v="925"/>
  </r>
  <r>
    <x v="13"/>
    <x v="7"/>
    <n v="171.93200049999999"/>
    <n v="1387673680.3599999"/>
    <n v="2024"/>
  </r>
  <r>
    <x v="13"/>
    <x v="8"/>
    <n v="406.08190055"/>
    <n v="496981766.69"/>
    <n v="9131"/>
  </r>
  <r>
    <x v="13"/>
    <x v="9"/>
    <n v="224.07479599999999"/>
    <n v="876753033.20000005"/>
    <n v="7994"/>
  </r>
  <r>
    <x v="13"/>
    <x v="10"/>
    <n v="233.3922"/>
    <n v="124712405.39"/>
    <n v="4736"/>
  </r>
  <r>
    <x v="13"/>
    <x v="11"/>
    <n v="240.97338930000001"/>
    <n v="133580155.59999999"/>
    <n v="924"/>
  </r>
  <r>
    <x v="13"/>
    <x v="12"/>
    <n v="111.71105032"/>
    <n v="172593572.74000001"/>
    <n v="398"/>
  </r>
  <r>
    <x v="14"/>
    <x v="0"/>
    <n v="172.04416921999999"/>
    <n v="2795406593.8000002"/>
    <n v="77351"/>
  </r>
  <r>
    <x v="14"/>
    <x v="1"/>
    <n v="210.09646728000001"/>
    <n v="965670176.30999994"/>
    <n v="7309"/>
  </r>
  <r>
    <x v="14"/>
    <x v="2"/>
    <n v="132.99207010000001"/>
    <n v="272938995.32999998"/>
    <n v="517"/>
  </r>
  <r>
    <x v="14"/>
    <x v="3"/>
    <n v="162.99623299999999"/>
    <n v="1310044225.79"/>
    <n v="13493"/>
  </r>
  <r>
    <x v="14"/>
    <x v="4"/>
    <n v="354.04114800000002"/>
    <n v="2878841374.4099998"/>
    <n v="41592"/>
  </r>
  <r>
    <x v="14"/>
    <x v="5"/>
    <n v="11.94849765"/>
    <n v="1195433069.5899999"/>
    <n v="16331"/>
  </r>
  <r>
    <x v="14"/>
    <x v="6"/>
    <n v="199.91493370000001"/>
    <n v="250387309.88"/>
    <n v="916"/>
  </r>
  <r>
    <x v="14"/>
    <x v="7"/>
    <n v="172.43487279999999"/>
    <n v="1342700355.78"/>
    <n v="2035"/>
  </r>
  <r>
    <x v="14"/>
    <x v="8"/>
    <n v="401.44983323000002"/>
    <n v="481830541.19"/>
    <n v="8721"/>
  </r>
  <r>
    <x v="14"/>
    <x v="9"/>
    <n v="221.98569599999999"/>
    <n v="827238094.24000001"/>
    <n v="8005"/>
  </r>
  <r>
    <x v="14"/>
    <x v="10"/>
    <n v="230.80369999999999"/>
    <n v="111684808.62"/>
    <n v="4579"/>
  </r>
  <r>
    <x v="14"/>
    <x v="11"/>
    <n v="238.5323176"/>
    <n v="128323465.92"/>
    <n v="913"/>
  </r>
  <r>
    <x v="14"/>
    <x v="12"/>
    <n v="107.91394041"/>
    <n v="191277459.38"/>
    <n v="338"/>
  </r>
  <r>
    <x v="15"/>
    <x v="0"/>
    <n v="172.59621182999999"/>
    <n v="2759700883.4200001"/>
    <n v="77141"/>
  </r>
  <r>
    <x v="15"/>
    <x v="1"/>
    <n v="211.12221948999999"/>
    <n v="902080220.38999999"/>
    <n v="7289"/>
  </r>
  <r>
    <x v="15"/>
    <x v="2"/>
    <n v="133.42620184"/>
    <n v="288208407.72000003"/>
    <n v="534"/>
  </r>
  <r>
    <x v="15"/>
    <x v="3"/>
    <n v="163.721102"/>
    <n v="1307610404.8299999"/>
    <n v="13523"/>
  </r>
  <r>
    <x v="15"/>
    <x v="4"/>
    <n v="355.20415800000001"/>
    <n v="3087724539.8400002"/>
    <n v="42706"/>
  </r>
  <r>
    <x v="15"/>
    <x v="5"/>
    <n v="11.99146614"/>
    <n v="1274040463.7"/>
    <n v="16547"/>
  </r>
  <r>
    <x v="15"/>
    <x v="6"/>
    <n v="200.90346869999999"/>
    <n v="272687667.14999998"/>
    <n v="928"/>
  </r>
  <r>
    <x v="15"/>
    <x v="7"/>
    <n v="173.0471919"/>
    <n v="1439807645.1400001"/>
    <n v="2039"/>
  </r>
  <r>
    <x v="15"/>
    <x v="8"/>
    <n v="406.12916368999998"/>
    <n v="471196456.31"/>
    <n v="8591"/>
  </r>
  <r>
    <x v="15"/>
    <x v="9"/>
    <n v="223.68921"/>
    <n v="808650918.29999995"/>
    <n v="7994"/>
  </r>
  <r>
    <x v="15"/>
    <x v="10"/>
    <n v="233.01339999999999"/>
    <n v="107904311.04000001"/>
    <n v="4544"/>
  </r>
  <r>
    <x v="15"/>
    <x v="11"/>
    <n v="240.5918016"/>
    <n v="127936675.83"/>
    <n v="910"/>
  </r>
  <r>
    <x v="15"/>
    <x v="12"/>
    <n v="109.30136435999999"/>
    <n v="194009921.74000001"/>
    <n v="446"/>
  </r>
  <r>
    <x v="16"/>
    <x v="0"/>
    <n v="173.16881229000001"/>
    <n v="2772031059.21"/>
    <n v="76924"/>
  </r>
  <r>
    <x v="16"/>
    <x v="1"/>
    <n v="211.85907018"/>
    <n v="893652789.94000006"/>
    <n v="7233"/>
  </r>
  <r>
    <x v="16"/>
    <x v="2"/>
    <n v="133.89353187"/>
    <n v="280697176.42000002"/>
    <n v="546"/>
  </r>
  <r>
    <x v="16"/>
    <x v="3"/>
    <n v="164.404876"/>
    <n v="1295591395.8900001"/>
    <n v="13608"/>
  </r>
  <r>
    <x v="16"/>
    <x v="4"/>
    <n v="356.45455700000002"/>
    <n v="3111790686.29"/>
    <n v="43571"/>
  </r>
  <r>
    <x v="16"/>
    <x v="5"/>
    <n v="12.0347916"/>
    <n v="1218790462.6600001"/>
    <n v="16642"/>
  </r>
  <r>
    <x v="16"/>
    <x v="6"/>
    <n v="201.6821104"/>
    <n v="271193571.19999999"/>
    <n v="917"/>
  </r>
  <r>
    <x v="16"/>
    <x v="7"/>
    <n v="173.6554299"/>
    <n v="1483540707.6099999"/>
    <n v="2017"/>
  </r>
  <r>
    <x v="16"/>
    <x v="8"/>
    <n v="407.73720405"/>
    <n v="460394151.76999998"/>
    <n v="8504"/>
  </r>
  <r>
    <x v="16"/>
    <x v="9"/>
    <n v="225.18913699999999"/>
    <n v="821868199"/>
    <n v="8009"/>
  </r>
  <r>
    <x v="16"/>
    <x v="10"/>
    <n v="233.82660000000001"/>
    <n v="106268092.8"/>
    <n v="4494"/>
  </r>
  <r>
    <x v="16"/>
    <x v="11"/>
    <n v="241.93932409999999"/>
    <n v="126604346.67"/>
    <n v="900"/>
  </r>
  <r>
    <x v="16"/>
    <x v="12"/>
    <n v="110.21059455"/>
    <n v="198103543.71000001"/>
    <n v="449"/>
  </r>
  <r>
    <x v="17"/>
    <x v="0"/>
    <n v="173.72934685999999"/>
    <n v="2755029376.04"/>
    <n v="76508"/>
  </r>
  <r>
    <x v="17"/>
    <x v="1"/>
    <n v="212.78308894"/>
    <n v="913729885.00999999"/>
    <n v="7226"/>
  </r>
  <r>
    <x v="17"/>
    <x v="2"/>
    <n v="134.35108005000001"/>
    <n v="294070137.10000002"/>
    <n v="559"/>
  </r>
  <r>
    <x v="17"/>
    <x v="3"/>
    <n v="165.161753"/>
    <n v="1273986251.6199999"/>
    <n v="13634"/>
  </r>
  <r>
    <x v="17"/>
    <x v="4"/>
    <n v="357.63221700000003"/>
    <n v="3155428348.3099999"/>
    <n v="44078"/>
  </r>
  <r>
    <x v="17"/>
    <x v="5"/>
    <n v="12.079791739999999"/>
    <n v="1239412685.3499999"/>
    <n v="16616"/>
  </r>
  <r>
    <x v="17"/>
    <x v="6"/>
    <n v="202.4793817"/>
    <n v="268981492.00999999"/>
    <n v="909"/>
  </r>
  <r>
    <x v="17"/>
    <x v="7"/>
    <n v="174.30474280000001"/>
    <n v="1415523875.99"/>
    <n v="2017"/>
  </r>
  <r>
    <x v="17"/>
    <x v="8"/>
    <n v="410.65932354"/>
    <n v="461143127.45999998"/>
    <n v="8438"/>
  </r>
  <r>
    <x v="17"/>
    <x v="9"/>
    <n v="227.20659000000001"/>
    <n v="841428969.15999997"/>
    <n v="8102"/>
  </r>
  <r>
    <x v="17"/>
    <x v="10"/>
    <n v="235.39359999999999"/>
    <n v="104979969.55"/>
    <n v="4508"/>
  </r>
  <r>
    <x v="17"/>
    <x v="11"/>
    <n v="243.78792050000001"/>
    <n v="127233613.86"/>
    <n v="888"/>
  </r>
  <r>
    <x v="17"/>
    <x v="12"/>
    <n v="112.56613378999999"/>
    <n v="202337625.49000001"/>
    <n v="449"/>
  </r>
  <r>
    <x v="18"/>
    <x v="0"/>
    <n v="174.31846501999999"/>
    <n v="2714460737.9899998"/>
    <n v="76158"/>
  </r>
  <r>
    <x v="18"/>
    <x v="1"/>
    <n v="213.58180999000001"/>
    <n v="927883838.01999998"/>
    <n v="7251"/>
  </r>
  <r>
    <x v="18"/>
    <x v="2"/>
    <n v="134.82905649"/>
    <n v="309635566.69"/>
    <n v="564"/>
  </r>
  <r>
    <x v="18"/>
    <x v="3"/>
    <n v="165.67208099999999"/>
    <n v="1300155400.52"/>
    <n v="13863"/>
  </r>
  <r>
    <x v="18"/>
    <x v="4"/>
    <n v="358.82808499999999"/>
    <n v="3281456302.8499999"/>
    <n v="44950"/>
  </r>
  <r>
    <x v="18"/>
    <x v="5"/>
    <n v="12.122606530000001"/>
    <n v="1234798460.1099999"/>
    <n v="16736"/>
  </r>
  <r>
    <x v="18"/>
    <x v="6"/>
    <n v="203.14380349999999"/>
    <n v="194957198.62"/>
    <n v="909"/>
  </r>
  <r>
    <x v="18"/>
    <x v="7"/>
    <n v="174.92875620000001"/>
    <n v="1240583547.5899999"/>
    <n v="1987"/>
  </r>
  <r>
    <x v="18"/>
    <x v="8"/>
    <n v="411.87582773999998"/>
    <n v="472879276.06"/>
    <n v="8522"/>
  </r>
  <r>
    <x v="18"/>
    <x v="9"/>
    <n v="228.37178800000001"/>
    <n v="859777580.77999997"/>
    <n v="8250"/>
  </r>
  <r>
    <x v="18"/>
    <x v="10"/>
    <n v="235.62559999999999"/>
    <n v="105017921.93000001"/>
    <n v="4553"/>
  </r>
  <r>
    <x v="18"/>
    <x v="11"/>
    <n v="244.45138560000001"/>
    <n v="129245461.34999999"/>
    <n v="882"/>
  </r>
  <r>
    <x v="18"/>
    <x v="12"/>
    <n v="113.10807698000001"/>
    <n v="152695903.91999999"/>
    <n v="449"/>
  </r>
  <r>
    <x v="19"/>
    <x v="0"/>
    <n v="174.92760867999999"/>
    <n v="2696336296.1199999"/>
    <n v="75749"/>
  </r>
  <r>
    <x v="19"/>
    <x v="1"/>
    <n v="214.56994126000001"/>
    <n v="926049973"/>
    <n v="7226"/>
  </r>
  <r>
    <x v="19"/>
    <x v="2"/>
    <n v="135.32540791"/>
    <n v="326176641.60000002"/>
    <n v="566"/>
  </r>
  <r>
    <x v="19"/>
    <x v="3"/>
    <n v="166.32631599999999"/>
    <n v="1330545100.6300001"/>
    <n v="13990"/>
  </r>
  <r>
    <x v="19"/>
    <x v="4"/>
    <n v="360.02621199999999"/>
    <n v="3386119097.6900001"/>
    <n v="45517"/>
  </r>
  <r>
    <x v="19"/>
    <x v="5"/>
    <n v="12.165339700000001"/>
    <n v="1247745597.73"/>
    <n v="16809"/>
  </r>
  <r>
    <x v="19"/>
    <x v="6"/>
    <n v="203.8672832"/>
    <n v="184350138.22"/>
    <n v="890"/>
  </r>
  <r>
    <x v="19"/>
    <x v="7"/>
    <n v="175.55553359999999"/>
    <n v="1372214285.01"/>
    <n v="1957"/>
  </r>
  <r>
    <x v="19"/>
    <x v="8"/>
    <n v="413.52704188000001"/>
    <n v="476906604.38999999"/>
    <n v="8499"/>
  </r>
  <r>
    <x v="19"/>
    <x v="9"/>
    <n v="228.46783600000001"/>
    <n v="846675540.86000001"/>
    <n v="8334"/>
  </r>
  <r>
    <x v="19"/>
    <x v="10"/>
    <n v="235.76259999999999"/>
    <n v="99791086.439999998"/>
    <n v="4511"/>
  </r>
  <r>
    <x v="19"/>
    <x v="11"/>
    <n v="244.73786240000001"/>
    <n v="128349607.03"/>
    <n v="859"/>
  </r>
  <r>
    <x v="19"/>
    <x v="12"/>
    <n v="112.50574435"/>
    <n v="152164019.24000001"/>
    <n v="518"/>
  </r>
  <r>
    <x v="20"/>
    <x v="0"/>
    <n v="175.50838275999999"/>
    <n v="2705529159.8099999"/>
    <n v="75292"/>
  </r>
  <r>
    <x v="20"/>
    <x v="1"/>
    <n v="214.47442111000001"/>
    <n v="917635044.80999994"/>
    <n v="7147"/>
  </r>
  <r>
    <x v="20"/>
    <x v="2"/>
    <n v="135.79414928"/>
    <n v="359423998.38"/>
    <n v="597"/>
  </r>
  <r>
    <x v="20"/>
    <x v="3"/>
    <n v="166.12638113"/>
    <n v="1320047031.1900001"/>
    <n v="13880"/>
  </r>
  <r>
    <x v="20"/>
    <x v="4"/>
    <n v="361.10296736999999"/>
    <n v="3358169486.3899999"/>
    <n v="45627"/>
  </r>
  <r>
    <x v="20"/>
    <x v="5"/>
    <n v="12.203462500000001"/>
    <n v="1253304551.1400001"/>
    <n v="16925"/>
  </r>
  <r>
    <x v="20"/>
    <x v="6"/>
    <n v="203.7424178"/>
    <n v="186504024.28999999"/>
    <n v="881"/>
  </r>
  <r>
    <x v="20"/>
    <x v="7"/>
    <n v="176.1565659"/>
    <n v="1543437489.8199999"/>
    <n v="1953"/>
  </r>
  <r>
    <x v="20"/>
    <x v="8"/>
    <n v="409.07142088000001"/>
    <n v="445717202.87"/>
    <n v="8243"/>
  </r>
  <r>
    <x v="20"/>
    <x v="9"/>
    <n v="226.09731866999999"/>
    <n v="783883688.35000002"/>
    <n v="8119"/>
  </r>
  <r>
    <x v="20"/>
    <x v="10"/>
    <n v="233.64169999999999"/>
    <n v="91765003.560000002"/>
    <n v="4360"/>
  </r>
  <r>
    <x v="20"/>
    <x v="11"/>
    <n v="242.900756"/>
    <n v="120721586.34"/>
    <n v="838"/>
  </r>
  <r>
    <x v="20"/>
    <x v="12"/>
    <n v="110.04027514086383"/>
    <n v="148829472.12801832"/>
    <n v="547"/>
  </r>
  <r>
    <x v="21"/>
    <x v="0"/>
    <n v="175.68375476"/>
    <n v="2705748233.4099998"/>
    <n v="75164"/>
  </r>
  <r>
    <x v="21"/>
    <x v="1"/>
    <n v="214.81611819"/>
    <n v="897019568.54999995"/>
    <n v="7069"/>
  </r>
  <r>
    <x v="21"/>
    <x v="2"/>
    <n v="135.93525915000001"/>
    <n v="385465944.74000001"/>
    <n v="610"/>
  </r>
  <r>
    <x v="21"/>
    <x v="3"/>
    <n v="166.41805854"/>
    <n v="1317793069.1300001"/>
    <n v="13802"/>
  </r>
  <r>
    <x v="21"/>
    <x v="4"/>
    <n v="361.46004819000001"/>
    <n v="3451869354.6100001"/>
    <n v="45759"/>
  </r>
  <r>
    <x v="21"/>
    <x v="5"/>
    <n v="12.21523575"/>
    <n v="1249435239.9400001"/>
    <n v="16986"/>
  </r>
  <r>
    <x v="21"/>
    <x v="6"/>
    <n v="204.02861960000001"/>
    <n v="194753456.19999999"/>
    <n v="877"/>
  </r>
  <r>
    <x v="21"/>
    <x v="7"/>
    <n v="176.33114180000001"/>
    <n v="1666496529.3"/>
    <n v="1979"/>
  </r>
  <r>
    <x v="21"/>
    <x v="8"/>
    <n v="410.30980470999998"/>
    <n v="435373898.41000003"/>
    <n v="8142"/>
  </r>
  <r>
    <x v="21"/>
    <x v="9"/>
    <n v="226.63490805999999"/>
    <n v="768176827.78999996"/>
    <n v="8043"/>
  </r>
  <r>
    <x v="21"/>
    <x v="10"/>
    <n v="234.13839999999999"/>
    <n v="87314060.650000006"/>
    <n v="4305"/>
  </r>
  <r>
    <x v="21"/>
    <x v="11"/>
    <n v="243.4637008"/>
    <n v="118502088.41"/>
    <n v="835"/>
  </r>
  <r>
    <x v="21"/>
    <x v="12"/>
    <n v="110.882600109728"/>
    <n v="149414303.64785901"/>
    <n v="547"/>
  </r>
  <r>
    <x v="22"/>
    <x v="0"/>
    <n v="175.83459361000001"/>
    <n v="2705450184.71"/>
    <n v="75059"/>
  </r>
  <r>
    <x v="22"/>
    <x v="1"/>
    <n v="215.18728877999999"/>
    <n v="901603838.59000003"/>
    <n v="7051"/>
  </r>
  <r>
    <x v="22"/>
    <x v="2"/>
    <n v="136.05660689000001"/>
    <n v="391665509.10000002"/>
    <n v="614"/>
  </r>
  <r>
    <x v="22"/>
    <x v="3"/>
    <n v="166.77472852"/>
    <n v="1312884105.1199999"/>
    <n v="13772"/>
  </r>
  <r>
    <x v="22"/>
    <x v="4"/>
    <n v="361.75432577999999"/>
    <n v="3481232200.6300001"/>
    <n v="45788"/>
  </r>
  <r>
    <x v="22"/>
    <x v="5"/>
    <n v="12.22566097"/>
    <n v="1252858098.9100001"/>
    <n v="17016"/>
  </r>
  <r>
    <x v="22"/>
    <x v="6"/>
    <n v="204.30919470000001"/>
    <n v="193948463.15000001"/>
    <n v="874"/>
  </r>
  <r>
    <x v="22"/>
    <x v="7"/>
    <n v="176.4820235"/>
    <n v="1602370107.4100001"/>
    <n v="1979"/>
  </r>
  <r>
    <x v="22"/>
    <x v="8"/>
    <n v="411.62102847"/>
    <n v="438285237.41000003"/>
    <n v="8109"/>
  </r>
  <r>
    <x v="22"/>
    <x v="9"/>
    <n v="227.19794242"/>
    <n v="758788918.42999995"/>
    <n v="8001"/>
  </r>
  <r>
    <x v="22"/>
    <x v="10"/>
    <n v="234.77170000000001"/>
    <n v="86245647.939999998"/>
    <n v="4285"/>
  </r>
  <r>
    <x v="22"/>
    <x v="11"/>
    <n v="243.9394648"/>
    <n v="117733913.66"/>
    <n v="832"/>
  </r>
  <r>
    <x v="22"/>
    <x v="12"/>
    <n v="110.97620000000001"/>
    <n v="149576430.905"/>
    <n v="5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65E24-7FB2-484F-AA21-B19C4B770602}" name="TablaDiná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2" firstHeaderRow="0" firstDataRow="1" firstDataCol="1"/>
  <pivotFields count="8">
    <pivotField axis="axisRow" numFmtId="14" showAll="0" sortType="ascending">
      <items count="24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t="default"/>
      </items>
    </pivotField>
    <pivotField axis="axisRow" showAll="0">
      <items count="26">
        <item x="0"/>
        <item x="1"/>
        <item x="8"/>
        <item x="2"/>
        <item x="9"/>
        <item x="3"/>
        <item x="4"/>
        <item x="12"/>
        <item x="10"/>
        <item x="5"/>
        <item x="6"/>
        <item x="11"/>
        <item x="7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t="default"/>
      </items>
    </pivotField>
    <pivotField dataField="1"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x="6"/>
        <item t="default"/>
      </items>
    </pivotField>
  </pivotFields>
  <rowFields count="2">
    <field x="0"/>
    <field x="1"/>
  </rowFields>
  <rowItems count="29"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Cuota" fld="2" baseField="0" baseItem="0"/>
    <dataField name="Suma de Patrimoni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AD8F-04BE-402F-BA65-8F192711C1BA}">
  <dimension ref="A1:E14"/>
  <sheetViews>
    <sheetView tabSelected="1" workbookViewId="0">
      <selection activeCell="I22" sqref="I22"/>
    </sheetView>
  </sheetViews>
  <sheetFormatPr baseColWidth="10" defaultRowHeight="14.4" x14ac:dyDescent="0.3"/>
  <cols>
    <col min="1" max="1" width="24" bestFit="1" customWidth="1"/>
    <col min="2" max="2" width="4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22</v>
      </c>
      <c r="B2" t="s">
        <v>9</v>
      </c>
      <c r="C2" t="s">
        <v>17</v>
      </c>
      <c r="D2" t="s">
        <v>404</v>
      </c>
      <c r="E2" s="1">
        <v>39784</v>
      </c>
    </row>
    <row r="3" spans="1:5" x14ac:dyDescent="0.3">
      <c r="A3" t="s">
        <v>23</v>
      </c>
      <c r="B3" t="s">
        <v>10</v>
      </c>
      <c r="C3" t="s">
        <v>17</v>
      </c>
      <c r="D3" t="s">
        <v>16</v>
      </c>
      <c r="E3" s="1">
        <v>38713</v>
      </c>
    </row>
    <row r="4" spans="1:5" x14ac:dyDescent="0.3">
      <c r="A4" t="s">
        <v>24</v>
      </c>
      <c r="B4" t="s">
        <v>11</v>
      </c>
      <c r="C4" t="s">
        <v>17</v>
      </c>
      <c r="D4" t="s">
        <v>16</v>
      </c>
      <c r="E4" s="1">
        <v>43376</v>
      </c>
    </row>
    <row r="5" spans="1:5" x14ac:dyDescent="0.3">
      <c r="A5" t="s">
        <v>25</v>
      </c>
      <c r="B5" t="s">
        <v>12</v>
      </c>
      <c r="C5" t="s">
        <v>18</v>
      </c>
      <c r="D5" t="s">
        <v>16</v>
      </c>
      <c r="E5" s="1">
        <v>41680</v>
      </c>
    </row>
    <row r="6" spans="1:5" x14ac:dyDescent="0.3">
      <c r="A6" t="s">
        <v>26</v>
      </c>
      <c r="B6" t="s">
        <v>13</v>
      </c>
      <c r="C6" t="s">
        <v>18</v>
      </c>
      <c r="D6" t="s">
        <v>404</v>
      </c>
      <c r="E6" s="1">
        <v>36622</v>
      </c>
    </row>
    <row r="7" spans="1:5" x14ac:dyDescent="0.3">
      <c r="A7" t="s">
        <v>27</v>
      </c>
      <c r="B7" t="s">
        <v>14</v>
      </c>
      <c r="C7" t="s">
        <v>19</v>
      </c>
      <c r="D7" t="s">
        <v>404</v>
      </c>
      <c r="E7" s="1">
        <v>44956</v>
      </c>
    </row>
    <row r="8" spans="1:5" x14ac:dyDescent="0.3">
      <c r="A8" t="s">
        <v>28</v>
      </c>
      <c r="B8" t="s">
        <v>15</v>
      </c>
      <c r="C8" t="s">
        <v>20</v>
      </c>
      <c r="D8" t="s">
        <v>16</v>
      </c>
      <c r="E8" s="1">
        <v>39897</v>
      </c>
    </row>
    <row r="9" spans="1:5" x14ac:dyDescent="0.3">
      <c r="A9" t="s">
        <v>29</v>
      </c>
      <c r="B9" t="s">
        <v>21</v>
      </c>
      <c r="C9" t="s">
        <v>20</v>
      </c>
      <c r="D9" t="s">
        <v>404</v>
      </c>
      <c r="E9" s="1">
        <v>41038</v>
      </c>
    </row>
    <row r="10" spans="1:5" x14ac:dyDescent="0.3">
      <c r="A10" t="s">
        <v>32</v>
      </c>
      <c r="B10" t="s">
        <v>5</v>
      </c>
      <c r="C10" t="s">
        <v>17</v>
      </c>
      <c r="D10" t="s">
        <v>30</v>
      </c>
      <c r="E10" s="1">
        <v>35720</v>
      </c>
    </row>
    <row r="11" spans="1:5" x14ac:dyDescent="0.3">
      <c r="A11" t="s">
        <v>33</v>
      </c>
      <c r="B11" t="s">
        <v>6</v>
      </c>
      <c r="C11" t="s">
        <v>18</v>
      </c>
      <c r="D11" t="s">
        <v>30</v>
      </c>
      <c r="E11" s="1">
        <v>39150</v>
      </c>
    </row>
    <row r="12" spans="1:5" x14ac:dyDescent="0.3">
      <c r="A12" t="s">
        <v>34</v>
      </c>
      <c r="B12" t="s">
        <v>7</v>
      </c>
      <c r="C12" t="s">
        <v>31</v>
      </c>
      <c r="D12" t="s">
        <v>30</v>
      </c>
      <c r="E12" s="1">
        <v>37329</v>
      </c>
    </row>
    <row r="13" spans="1:5" x14ac:dyDescent="0.3">
      <c r="A13" t="s">
        <v>35</v>
      </c>
      <c r="B13" t="s">
        <v>8</v>
      </c>
      <c r="C13" t="s">
        <v>20</v>
      </c>
      <c r="D13" t="s">
        <v>30</v>
      </c>
      <c r="E13" s="1">
        <v>38856</v>
      </c>
    </row>
    <row r="14" spans="1:5" x14ac:dyDescent="0.3">
      <c r="A14" t="s">
        <v>40</v>
      </c>
      <c r="B14" t="s">
        <v>40</v>
      </c>
      <c r="C14" t="s">
        <v>41</v>
      </c>
      <c r="D14" t="s">
        <v>42</v>
      </c>
      <c r="E14" s="1">
        <v>45747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8A8D-E010-4622-BBF4-8117B763A2FF}">
  <dimension ref="A1:R297"/>
  <sheetViews>
    <sheetView topLeftCell="A266" zoomScaleNormal="100" workbookViewId="0">
      <selection activeCell="C297" sqref="C297"/>
    </sheetView>
  </sheetViews>
  <sheetFormatPr baseColWidth="10" defaultRowHeight="14.4" x14ac:dyDescent="0.3"/>
  <sheetData>
    <row r="1" spans="1:5" x14ac:dyDescent="0.3">
      <c r="A1" t="s">
        <v>36</v>
      </c>
      <c r="B1" t="s">
        <v>0</v>
      </c>
      <c r="C1" t="s">
        <v>37</v>
      </c>
      <c r="D1" t="s">
        <v>38</v>
      </c>
      <c r="E1" t="s">
        <v>39</v>
      </c>
    </row>
    <row r="2" spans="1:5" x14ac:dyDescent="0.3">
      <c r="A2" s="1">
        <v>44926</v>
      </c>
      <c r="B2" t="s">
        <v>22</v>
      </c>
      <c r="C2">
        <v>144.59971811</v>
      </c>
      <c r="D2">
        <v>1780595701.9300001</v>
      </c>
      <c r="E2">
        <v>71633</v>
      </c>
    </row>
    <row r="3" spans="1:5" x14ac:dyDescent="0.3">
      <c r="A3" s="1">
        <v>44926</v>
      </c>
      <c r="B3" t="s">
        <v>23</v>
      </c>
      <c r="C3">
        <v>173.71720182000001</v>
      </c>
      <c r="D3">
        <v>235607692.11000001</v>
      </c>
      <c r="E3">
        <v>6188</v>
      </c>
    </row>
    <row r="4" spans="1:5" x14ac:dyDescent="0.3">
      <c r="A4" s="1">
        <v>44926</v>
      </c>
      <c r="B4" t="s">
        <v>24</v>
      </c>
      <c r="C4">
        <v>111.44877950999999</v>
      </c>
      <c r="D4">
        <v>164874402.99000001</v>
      </c>
      <c r="E4">
        <v>191</v>
      </c>
    </row>
    <row r="5" spans="1:5" x14ac:dyDescent="0.3">
      <c r="A5" s="1">
        <v>44926</v>
      </c>
      <c r="B5" t="s">
        <v>25</v>
      </c>
      <c r="C5">
        <v>135.21020648000001</v>
      </c>
      <c r="D5">
        <v>476767647.56</v>
      </c>
      <c r="E5">
        <v>10418</v>
      </c>
    </row>
    <row r="6" spans="1:5" x14ac:dyDescent="0.3">
      <c r="A6" s="1">
        <v>44926</v>
      </c>
      <c r="B6" t="s">
        <v>26</v>
      </c>
      <c r="C6">
        <v>296.69448505000003</v>
      </c>
      <c r="D6">
        <v>1497806644.1800001</v>
      </c>
      <c r="E6">
        <v>28520</v>
      </c>
    </row>
    <row r="7" spans="1:5" x14ac:dyDescent="0.3">
      <c r="A7" s="1">
        <v>44926</v>
      </c>
      <c r="B7" t="s">
        <v>27</v>
      </c>
    </row>
    <row r="8" spans="1:5" x14ac:dyDescent="0.3">
      <c r="A8" s="1">
        <v>44926</v>
      </c>
      <c r="B8" t="s">
        <v>28</v>
      </c>
      <c r="C8">
        <v>167.8219181</v>
      </c>
      <c r="D8">
        <v>181420233.74000001</v>
      </c>
      <c r="E8">
        <v>827</v>
      </c>
    </row>
    <row r="9" spans="1:5" x14ac:dyDescent="0.3">
      <c r="A9" s="1">
        <v>44926</v>
      </c>
      <c r="B9" t="s">
        <v>29</v>
      </c>
      <c r="C9">
        <v>144.00388140000001</v>
      </c>
      <c r="D9">
        <v>573137696.12</v>
      </c>
      <c r="E9">
        <v>1948</v>
      </c>
    </row>
    <row r="10" spans="1:5" x14ac:dyDescent="0.3">
      <c r="A10" s="1">
        <v>44926</v>
      </c>
      <c r="B10" t="s">
        <v>32</v>
      </c>
      <c r="C10">
        <v>317.5136152</v>
      </c>
      <c r="D10">
        <v>75204728.650000006</v>
      </c>
      <c r="E10">
        <v>4096</v>
      </c>
    </row>
    <row r="11" spans="1:5" x14ac:dyDescent="0.3">
      <c r="A11" s="1">
        <v>44926</v>
      </c>
      <c r="B11" t="s">
        <v>33</v>
      </c>
      <c r="C11">
        <v>177.00756683</v>
      </c>
      <c r="D11">
        <v>329107281.64999998</v>
      </c>
      <c r="E11">
        <v>5181</v>
      </c>
    </row>
    <row r="12" spans="1:5" x14ac:dyDescent="0.3">
      <c r="A12" s="1">
        <v>44926</v>
      </c>
      <c r="B12" t="s">
        <v>34</v>
      </c>
      <c r="C12">
        <v>186.83269999999999</v>
      </c>
      <c r="D12">
        <v>52576790.329999998</v>
      </c>
      <c r="E12">
        <v>3251</v>
      </c>
    </row>
    <row r="13" spans="1:5" x14ac:dyDescent="0.3">
      <c r="A13" s="1">
        <v>44926</v>
      </c>
      <c r="B13" t="s">
        <v>35</v>
      </c>
      <c r="C13">
        <v>195.25890920000001</v>
      </c>
      <c r="D13">
        <v>47421040.450000003</v>
      </c>
      <c r="E13">
        <v>620</v>
      </c>
    </row>
    <row r="14" spans="1:5" x14ac:dyDescent="0.3">
      <c r="A14" s="1">
        <v>45291</v>
      </c>
      <c r="B14" t="s">
        <v>22</v>
      </c>
      <c r="C14">
        <v>155.05096872999999</v>
      </c>
      <c r="D14">
        <v>1757718562.8199999</v>
      </c>
      <c r="E14">
        <v>67700</v>
      </c>
    </row>
    <row r="15" spans="1:5" x14ac:dyDescent="0.3">
      <c r="A15" s="1">
        <v>45291</v>
      </c>
      <c r="B15" t="s">
        <v>23</v>
      </c>
      <c r="C15">
        <v>187.24948190999999</v>
      </c>
      <c r="D15">
        <v>223875481.59999999</v>
      </c>
      <c r="E15">
        <v>4845</v>
      </c>
    </row>
    <row r="16" spans="1:5" x14ac:dyDescent="0.3">
      <c r="A16" s="1">
        <v>45291</v>
      </c>
      <c r="B16" t="s">
        <v>24</v>
      </c>
      <c r="C16">
        <v>119.44997167</v>
      </c>
      <c r="D16">
        <v>87141002.849999994</v>
      </c>
      <c r="E16">
        <v>178</v>
      </c>
    </row>
    <row r="17" spans="1:5" x14ac:dyDescent="0.3">
      <c r="A17" s="1">
        <v>45291</v>
      </c>
      <c r="B17" t="s">
        <v>25</v>
      </c>
      <c r="C17">
        <v>145.55334999999999</v>
      </c>
      <c r="D17">
        <v>477245700.51999998</v>
      </c>
      <c r="E17">
        <v>10554</v>
      </c>
    </row>
    <row r="18" spans="1:5" x14ac:dyDescent="0.3">
      <c r="A18" s="1">
        <v>45291</v>
      </c>
      <c r="B18" t="s">
        <v>26</v>
      </c>
      <c r="C18">
        <v>318.38266599999997</v>
      </c>
      <c r="D18">
        <v>1640067045.1600001</v>
      </c>
      <c r="E18">
        <v>30709</v>
      </c>
    </row>
    <row r="19" spans="1:5" x14ac:dyDescent="0.3">
      <c r="A19" s="1">
        <v>45291</v>
      </c>
      <c r="B19" t="s">
        <v>27</v>
      </c>
      <c r="C19">
        <v>10.79655926</v>
      </c>
      <c r="D19">
        <v>722718733.80999994</v>
      </c>
      <c r="E19">
        <v>6888</v>
      </c>
    </row>
    <row r="20" spans="1:5" x14ac:dyDescent="0.3">
      <c r="A20" s="1">
        <v>45291</v>
      </c>
      <c r="B20" t="s">
        <v>28</v>
      </c>
      <c r="C20">
        <v>179.23148420000001</v>
      </c>
      <c r="D20">
        <v>75646215.840000004</v>
      </c>
      <c r="E20">
        <v>685</v>
      </c>
    </row>
    <row r="21" spans="1:5" x14ac:dyDescent="0.3">
      <c r="A21" s="1">
        <v>45291</v>
      </c>
      <c r="B21" t="s">
        <v>29</v>
      </c>
      <c r="C21">
        <v>154.70245499999999</v>
      </c>
      <c r="D21">
        <v>921797638.79999995</v>
      </c>
      <c r="E21">
        <v>2549</v>
      </c>
    </row>
    <row r="22" spans="1:5" x14ac:dyDescent="0.3">
      <c r="A22" s="1">
        <v>45291</v>
      </c>
      <c r="B22" t="s">
        <v>32</v>
      </c>
      <c r="C22">
        <v>350.77003454999999</v>
      </c>
      <c r="D22">
        <v>113231072.78</v>
      </c>
      <c r="E22">
        <v>4407</v>
      </c>
    </row>
    <row r="23" spans="1:5" x14ac:dyDescent="0.3">
      <c r="A23" s="1">
        <v>45291</v>
      </c>
      <c r="B23" t="s">
        <v>33</v>
      </c>
      <c r="C23">
        <v>193.46580499999999</v>
      </c>
      <c r="D23">
        <v>322695223.30000001</v>
      </c>
      <c r="E23">
        <v>4544</v>
      </c>
    </row>
    <row r="24" spans="1:5" x14ac:dyDescent="0.3">
      <c r="A24" s="1">
        <v>45291</v>
      </c>
      <c r="B24" t="s">
        <v>34</v>
      </c>
      <c r="C24">
        <v>204.38290000000001</v>
      </c>
      <c r="D24">
        <v>48272534.020000003</v>
      </c>
      <c r="E24">
        <v>3225</v>
      </c>
    </row>
    <row r="25" spans="1:5" x14ac:dyDescent="0.3">
      <c r="A25" s="1">
        <v>45291</v>
      </c>
      <c r="B25" t="s">
        <v>35</v>
      </c>
      <c r="C25">
        <v>210.82617690000001</v>
      </c>
      <c r="D25">
        <v>62212656.939999998</v>
      </c>
      <c r="E25">
        <v>605</v>
      </c>
    </row>
    <row r="26" spans="1:5" x14ac:dyDescent="0.3">
      <c r="A26" s="1">
        <v>45657</v>
      </c>
      <c r="B26" t="s">
        <v>22</v>
      </c>
      <c r="C26">
        <v>163.61348584999999</v>
      </c>
      <c r="D26">
        <v>2785813379.1700001</v>
      </c>
      <c r="E26">
        <v>75933</v>
      </c>
    </row>
    <row r="27" spans="1:5" x14ac:dyDescent="0.3">
      <c r="A27" s="1">
        <v>45657</v>
      </c>
      <c r="B27" t="s">
        <v>23</v>
      </c>
      <c r="C27">
        <v>197.93033137</v>
      </c>
      <c r="D27">
        <v>487072861.54000002</v>
      </c>
      <c r="E27">
        <v>5732</v>
      </c>
    </row>
    <row r="28" spans="1:5" x14ac:dyDescent="0.3">
      <c r="A28" s="1">
        <v>45657</v>
      </c>
      <c r="B28" t="s">
        <v>24</v>
      </c>
      <c r="C28">
        <v>126.22174136</v>
      </c>
      <c r="D28">
        <v>291604962.11000001</v>
      </c>
      <c r="E28">
        <v>503</v>
      </c>
    </row>
    <row r="29" spans="1:5" x14ac:dyDescent="0.3">
      <c r="A29" s="1">
        <v>45657</v>
      </c>
      <c r="B29" t="s">
        <v>25</v>
      </c>
      <c r="C29">
        <v>154.47121799999999</v>
      </c>
      <c r="D29">
        <v>876778097.27999997</v>
      </c>
      <c r="E29">
        <v>11126</v>
      </c>
    </row>
    <row r="30" spans="1:5" x14ac:dyDescent="0.3">
      <c r="A30" s="1">
        <v>45657</v>
      </c>
      <c r="B30" t="s">
        <v>26</v>
      </c>
      <c r="C30">
        <v>336.16375499999998</v>
      </c>
      <c r="D30">
        <v>2262660758.9099998</v>
      </c>
      <c r="E30">
        <v>33259</v>
      </c>
    </row>
    <row r="31" spans="1:5" x14ac:dyDescent="0.3">
      <c r="A31" s="1">
        <v>45657</v>
      </c>
      <c r="B31" t="s">
        <v>27</v>
      </c>
      <c r="C31">
        <v>11.34850312</v>
      </c>
      <c r="D31">
        <v>1199414211.3900001</v>
      </c>
      <c r="E31">
        <v>15968</v>
      </c>
    </row>
    <row r="32" spans="1:5" x14ac:dyDescent="0.3">
      <c r="A32" s="1">
        <v>45657</v>
      </c>
      <c r="B32" t="s">
        <v>28</v>
      </c>
      <c r="C32">
        <v>190.13847939999999</v>
      </c>
      <c r="D32">
        <v>229196493.75999999</v>
      </c>
      <c r="E32">
        <v>837</v>
      </c>
    </row>
    <row r="33" spans="1:5" x14ac:dyDescent="0.3">
      <c r="A33" s="1">
        <v>45657</v>
      </c>
      <c r="B33" t="s">
        <v>29</v>
      </c>
      <c r="C33">
        <v>163.48415209999999</v>
      </c>
      <c r="D33">
        <v>1563120388.29</v>
      </c>
      <c r="E33">
        <v>2645</v>
      </c>
    </row>
    <row r="34" spans="1:5" x14ac:dyDescent="0.3">
      <c r="A34" s="1">
        <v>45657</v>
      </c>
      <c r="B34" t="s">
        <v>32</v>
      </c>
      <c r="C34">
        <v>372.77834658</v>
      </c>
      <c r="D34">
        <v>236985701.34999999</v>
      </c>
      <c r="E34">
        <v>6808</v>
      </c>
    </row>
    <row r="35" spans="1:5" x14ac:dyDescent="0.3">
      <c r="A35" s="1">
        <v>45657</v>
      </c>
      <c r="B35" t="s">
        <v>33</v>
      </c>
      <c r="C35">
        <v>207.68079700000001</v>
      </c>
      <c r="D35">
        <v>476508901.11000001</v>
      </c>
      <c r="E35">
        <v>5366</v>
      </c>
    </row>
    <row r="36" spans="1:5" x14ac:dyDescent="0.3">
      <c r="A36" s="1">
        <v>45657</v>
      </c>
      <c r="B36" t="s">
        <v>34</v>
      </c>
      <c r="C36">
        <v>217.68049999999999</v>
      </c>
      <c r="D36">
        <v>59979894.689999998</v>
      </c>
      <c r="E36">
        <v>3421</v>
      </c>
    </row>
    <row r="37" spans="1:5" x14ac:dyDescent="0.3">
      <c r="A37" s="1">
        <v>45657</v>
      </c>
      <c r="B37" t="s">
        <v>35</v>
      </c>
      <c r="C37">
        <v>224.39302129999999</v>
      </c>
      <c r="D37">
        <v>109615940.83</v>
      </c>
      <c r="E37">
        <v>842</v>
      </c>
    </row>
    <row r="38" spans="1:5" x14ac:dyDescent="0.3">
      <c r="A38" s="1">
        <v>45838</v>
      </c>
      <c r="B38" t="s">
        <v>22</v>
      </c>
      <c r="C38">
        <v>167.07511972</v>
      </c>
      <c r="D38">
        <v>3102255970.8000002</v>
      </c>
      <c r="E38">
        <v>80880</v>
      </c>
    </row>
    <row r="39" spans="1:5" x14ac:dyDescent="0.3">
      <c r="A39" s="1">
        <v>45838</v>
      </c>
      <c r="B39" t="s">
        <v>23</v>
      </c>
      <c r="C39">
        <v>203.39865723</v>
      </c>
      <c r="D39">
        <v>713327723.94000006</v>
      </c>
      <c r="E39">
        <v>6867</v>
      </c>
    </row>
    <row r="40" spans="1:5" x14ac:dyDescent="0.3">
      <c r="A40" s="1">
        <v>45838</v>
      </c>
      <c r="B40" t="s">
        <v>24</v>
      </c>
      <c r="C40">
        <v>128.97037555</v>
      </c>
      <c r="D40">
        <v>298446011.36000001</v>
      </c>
      <c r="E40">
        <v>586</v>
      </c>
    </row>
    <row r="41" spans="1:5" x14ac:dyDescent="0.3">
      <c r="A41" s="1">
        <v>45838</v>
      </c>
      <c r="B41" t="s">
        <v>25</v>
      </c>
      <c r="C41">
        <v>158.32547199999999</v>
      </c>
      <c r="D41">
        <v>1001694254.91</v>
      </c>
      <c r="E41">
        <v>11741</v>
      </c>
    </row>
    <row r="42" spans="1:5" x14ac:dyDescent="0.3">
      <c r="A42" s="1">
        <v>45838</v>
      </c>
      <c r="B42" t="s">
        <v>26</v>
      </c>
      <c r="C42">
        <v>343.86480699999998</v>
      </c>
      <c r="D42">
        <v>2766838110.2399998</v>
      </c>
      <c r="E42">
        <v>35316</v>
      </c>
    </row>
    <row r="43" spans="1:5" x14ac:dyDescent="0.3">
      <c r="A43" s="1">
        <v>45838</v>
      </c>
      <c r="B43" t="s">
        <v>27</v>
      </c>
      <c r="C43">
        <v>11.597048770000001</v>
      </c>
      <c r="D43">
        <v>1266987358.23</v>
      </c>
      <c r="E43">
        <v>17865</v>
      </c>
    </row>
    <row r="44" spans="1:5" x14ac:dyDescent="0.3">
      <c r="A44" s="1">
        <v>45838</v>
      </c>
      <c r="B44" t="s">
        <v>28</v>
      </c>
      <c r="C44">
        <v>194.37889050000001</v>
      </c>
      <c r="D44">
        <v>210800593.33000001</v>
      </c>
      <c r="E44">
        <v>904</v>
      </c>
    </row>
    <row r="45" spans="1:5" x14ac:dyDescent="0.3">
      <c r="A45" s="1">
        <v>45838</v>
      </c>
      <c r="B45" t="s">
        <v>29</v>
      </c>
      <c r="C45">
        <v>167.17190740000001</v>
      </c>
      <c r="D45">
        <v>1345605629.5799999</v>
      </c>
      <c r="E45">
        <v>2282</v>
      </c>
    </row>
    <row r="46" spans="1:5" x14ac:dyDescent="0.3">
      <c r="A46" s="1">
        <v>45838</v>
      </c>
      <c r="B46" t="s">
        <v>32</v>
      </c>
      <c r="C46">
        <v>387.61274229999998</v>
      </c>
      <c r="D46">
        <v>301355442.52999997</v>
      </c>
      <c r="E46">
        <v>8012</v>
      </c>
    </row>
    <row r="47" spans="1:5" x14ac:dyDescent="0.3">
      <c r="A47" s="1">
        <v>45838</v>
      </c>
      <c r="B47" t="s">
        <v>33</v>
      </c>
      <c r="C47">
        <v>215.27327199999999</v>
      </c>
      <c r="D47">
        <v>614074843.98000002</v>
      </c>
      <c r="E47">
        <v>6226</v>
      </c>
    </row>
    <row r="48" spans="1:5" x14ac:dyDescent="0.3">
      <c r="A48" s="1">
        <v>45838</v>
      </c>
      <c r="B48" t="s">
        <v>34</v>
      </c>
      <c r="C48">
        <v>224.72149999999999</v>
      </c>
      <c r="D48">
        <v>76367739.25</v>
      </c>
      <c r="E48">
        <v>3607</v>
      </c>
    </row>
    <row r="49" spans="1:5" x14ac:dyDescent="0.3">
      <c r="A49" s="1">
        <v>45838</v>
      </c>
      <c r="B49" t="s">
        <v>35</v>
      </c>
      <c r="C49">
        <v>231.62023500000001</v>
      </c>
      <c r="D49">
        <v>108659193.23</v>
      </c>
      <c r="E49">
        <v>859</v>
      </c>
    </row>
    <row r="50" spans="1:5" x14ac:dyDescent="0.3">
      <c r="A50" s="1">
        <v>45838</v>
      </c>
      <c r="B50" t="s">
        <v>40</v>
      </c>
      <c r="C50">
        <v>104.077</v>
      </c>
      <c r="D50">
        <v>160538836</v>
      </c>
      <c r="E50">
        <v>195</v>
      </c>
    </row>
    <row r="51" spans="1:5" x14ac:dyDescent="0.3">
      <c r="A51" s="1">
        <v>45869</v>
      </c>
      <c r="B51" t="s">
        <v>22</v>
      </c>
      <c r="C51">
        <v>167.64956842999999</v>
      </c>
      <c r="D51">
        <v>3078642149.5</v>
      </c>
      <c r="E51">
        <v>81044</v>
      </c>
    </row>
    <row r="52" spans="1:5" x14ac:dyDescent="0.3">
      <c r="A52" s="1">
        <v>45869</v>
      </c>
      <c r="B52" t="s">
        <v>23</v>
      </c>
      <c r="C52">
        <v>204.37856231999999</v>
      </c>
      <c r="D52">
        <v>799486379.04999995</v>
      </c>
      <c r="E52">
        <v>7016</v>
      </c>
    </row>
    <row r="53" spans="1:5" x14ac:dyDescent="0.3">
      <c r="A53" s="1">
        <v>45869</v>
      </c>
      <c r="B53" t="s">
        <v>24</v>
      </c>
      <c r="C53">
        <v>129.42988886000001</v>
      </c>
      <c r="D53">
        <v>294789962.27999997</v>
      </c>
      <c r="E53">
        <v>576</v>
      </c>
    </row>
    <row r="54" spans="1:5" x14ac:dyDescent="0.3">
      <c r="A54" s="1">
        <v>45869</v>
      </c>
      <c r="B54" t="s">
        <v>25</v>
      </c>
      <c r="C54">
        <v>158.988519</v>
      </c>
      <c r="D54">
        <v>1031033582.17</v>
      </c>
      <c r="E54">
        <v>11947</v>
      </c>
    </row>
    <row r="55" spans="1:5" x14ac:dyDescent="0.3">
      <c r="A55" s="1">
        <v>45869</v>
      </c>
      <c r="B55" t="s">
        <v>26</v>
      </c>
      <c r="C55">
        <v>345.110997</v>
      </c>
      <c r="D55">
        <v>2536105970.04</v>
      </c>
      <c r="E55">
        <v>35699</v>
      </c>
    </row>
    <row r="56" spans="1:5" x14ac:dyDescent="0.3">
      <c r="A56" s="1">
        <v>45869</v>
      </c>
      <c r="B56" t="s">
        <v>27</v>
      </c>
      <c r="C56">
        <v>11.63921322</v>
      </c>
      <c r="D56">
        <v>1251580814.6700001</v>
      </c>
      <c r="E56">
        <v>17766</v>
      </c>
    </row>
    <row r="57" spans="1:5" x14ac:dyDescent="0.3">
      <c r="A57" s="1">
        <v>45869</v>
      </c>
      <c r="B57" t="s">
        <v>28</v>
      </c>
      <c r="C57">
        <v>195.18316189999999</v>
      </c>
      <c r="D57">
        <v>229817708.03</v>
      </c>
      <c r="E57">
        <v>920</v>
      </c>
    </row>
    <row r="58" spans="1:5" x14ac:dyDescent="0.3">
      <c r="A58" s="1">
        <v>45869</v>
      </c>
      <c r="B58" t="s">
        <v>29</v>
      </c>
      <c r="C58">
        <v>167.79395239999999</v>
      </c>
      <c r="D58">
        <v>1396545851.9300001</v>
      </c>
      <c r="E58">
        <v>2244</v>
      </c>
    </row>
    <row r="59" spans="1:5" x14ac:dyDescent="0.3">
      <c r="A59" s="1">
        <v>45869</v>
      </c>
      <c r="B59" t="s">
        <v>32</v>
      </c>
      <c r="C59">
        <v>390.59586528</v>
      </c>
      <c r="D59">
        <v>320206500.63999999</v>
      </c>
      <c r="E59">
        <v>8295</v>
      </c>
    </row>
    <row r="60" spans="1:5" x14ac:dyDescent="0.3">
      <c r="A60" s="1">
        <v>45869</v>
      </c>
      <c r="B60" t="s">
        <v>33</v>
      </c>
      <c r="C60">
        <v>216.53612899999999</v>
      </c>
      <c r="D60">
        <v>646898858.19000006</v>
      </c>
      <c r="E60">
        <v>6459</v>
      </c>
    </row>
    <row r="61" spans="1:5" x14ac:dyDescent="0.3">
      <c r="A61" s="1">
        <v>45869</v>
      </c>
      <c r="B61" t="s">
        <v>34</v>
      </c>
      <c r="C61">
        <v>225.9716</v>
      </c>
      <c r="D61">
        <v>85025969.689999998</v>
      </c>
      <c r="E61">
        <v>3704</v>
      </c>
    </row>
    <row r="62" spans="1:5" x14ac:dyDescent="0.3">
      <c r="A62" s="1">
        <v>45869</v>
      </c>
      <c r="B62" t="s">
        <v>35</v>
      </c>
      <c r="C62">
        <v>232.6416213</v>
      </c>
      <c r="D62">
        <v>112822044.2</v>
      </c>
      <c r="E62">
        <v>874</v>
      </c>
    </row>
    <row r="63" spans="1:5" x14ac:dyDescent="0.3">
      <c r="A63" s="1">
        <v>45869</v>
      </c>
      <c r="B63" t="s">
        <v>40</v>
      </c>
      <c r="C63">
        <v>104.78189999999999</v>
      </c>
      <c r="D63">
        <v>161626065.99000001</v>
      </c>
      <c r="E63">
        <v>208</v>
      </c>
    </row>
    <row r="64" spans="1:5" x14ac:dyDescent="0.3">
      <c r="A64" s="1">
        <v>45900</v>
      </c>
      <c r="B64" t="s">
        <v>22</v>
      </c>
      <c r="C64">
        <v>168.23558263000001</v>
      </c>
      <c r="D64">
        <v>3015298835.8299999</v>
      </c>
      <c r="E64">
        <v>80761</v>
      </c>
    </row>
    <row r="65" spans="1:5" x14ac:dyDescent="0.3">
      <c r="A65" s="1">
        <v>45900</v>
      </c>
      <c r="B65" t="s">
        <v>23</v>
      </c>
      <c r="C65">
        <v>205.39002556</v>
      </c>
      <c r="D65">
        <v>897991417.98000002</v>
      </c>
      <c r="E65">
        <v>7099</v>
      </c>
    </row>
    <row r="66" spans="1:5" x14ac:dyDescent="0.3">
      <c r="A66" s="1">
        <v>45900</v>
      </c>
      <c r="B66" t="s">
        <v>24</v>
      </c>
      <c r="C66">
        <v>129.88868518000001</v>
      </c>
      <c r="D66">
        <v>301790271.91000003</v>
      </c>
      <c r="E66">
        <v>562</v>
      </c>
    </row>
    <row r="67" spans="1:5" x14ac:dyDescent="0.3">
      <c r="A67" s="1">
        <v>45900</v>
      </c>
      <c r="B67" t="s">
        <v>25</v>
      </c>
      <c r="C67">
        <v>159.74084300000001</v>
      </c>
      <c r="D67">
        <v>1076884783.3499999</v>
      </c>
      <c r="E67">
        <v>12131</v>
      </c>
    </row>
    <row r="68" spans="1:5" x14ac:dyDescent="0.3">
      <c r="A68" s="1">
        <v>45900</v>
      </c>
      <c r="B68" t="s">
        <v>26</v>
      </c>
      <c r="C68">
        <v>346.30228299999999</v>
      </c>
      <c r="D68">
        <v>2617465131.8000002</v>
      </c>
      <c r="E68">
        <v>35775</v>
      </c>
    </row>
    <row r="69" spans="1:5" x14ac:dyDescent="0.3">
      <c r="A69" s="1">
        <v>45900</v>
      </c>
      <c r="B69" t="s">
        <v>27</v>
      </c>
      <c r="C69">
        <v>11.681476330000001</v>
      </c>
      <c r="D69">
        <v>1217600708.01</v>
      </c>
      <c r="E69">
        <v>17560</v>
      </c>
    </row>
    <row r="70" spans="1:5" x14ac:dyDescent="0.3">
      <c r="A70" s="1">
        <v>45900</v>
      </c>
      <c r="B70" t="s">
        <v>28</v>
      </c>
      <c r="C70">
        <v>195.87096030000001</v>
      </c>
      <c r="D70">
        <v>277996661.42000002</v>
      </c>
      <c r="E70">
        <v>940</v>
      </c>
    </row>
    <row r="71" spans="1:5" x14ac:dyDescent="0.3">
      <c r="A71" s="1">
        <v>45900</v>
      </c>
      <c r="B71" t="s">
        <v>29</v>
      </c>
      <c r="C71">
        <v>168.4135532</v>
      </c>
      <c r="D71">
        <v>1473308890.9300001</v>
      </c>
      <c r="E71">
        <v>2207</v>
      </c>
    </row>
    <row r="72" spans="1:5" x14ac:dyDescent="0.3">
      <c r="A72" s="1">
        <v>45900</v>
      </c>
      <c r="B72" t="s">
        <v>32</v>
      </c>
      <c r="C72">
        <v>393.76626654</v>
      </c>
      <c r="D72">
        <v>349904163.51999998</v>
      </c>
      <c r="E72">
        <v>8460</v>
      </c>
    </row>
    <row r="73" spans="1:5" x14ac:dyDescent="0.3">
      <c r="A73" s="1">
        <v>45900</v>
      </c>
      <c r="B73" t="s">
        <v>33</v>
      </c>
      <c r="C73">
        <v>217.83012500000001</v>
      </c>
      <c r="D73">
        <v>676057856.75999999</v>
      </c>
      <c r="E73">
        <v>6674</v>
      </c>
    </row>
    <row r="74" spans="1:5" x14ac:dyDescent="0.3">
      <c r="A74" s="1">
        <v>45900</v>
      </c>
      <c r="B74" t="s">
        <v>34</v>
      </c>
      <c r="C74">
        <v>227.23140000000001</v>
      </c>
      <c r="D74">
        <v>91608131.040000007</v>
      </c>
      <c r="E74">
        <v>3783</v>
      </c>
    </row>
    <row r="75" spans="1:5" x14ac:dyDescent="0.3">
      <c r="A75" s="1">
        <v>45900</v>
      </c>
      <c r="B75" t="s">
        <v>35</v>
      </c>
      <c r="C75">
        <v>234.08105040000001</v>
      </c>
      <c r="D75">
        <v>119077037.17</v>
      </c>
      <c r="E75">
        <v>887</v>
      </c>
    </row>
    <row r="76" spans="1:5" x14ac:dyDescent="0.3">
      <c r="A76" s="1">
        <v>45900</v>
      </c>
      <c r="B76" t="s">
        <v>40</v>
      </c>
      <c r="C76">
        <v>105.94927979000001</v>
      </c>
      <c r="D76">
        <v>138263810.13</v>
      </c>
      <c r="E76">
        <v>213</v>
      </c>
    </row>
    <row r="77" spans="1:5" x14ac:dyDescent="0.3">
      <c r="A77" s="1">
        <v>45930</v>
      </c>
      <c r="B77" t="s">
        <v>22</v>
      </c>
      <c r="C77">
        <v>168.79042254999999</v>
      </c>
      <c r="D77">
        <v>2918602637.7800002</v>
      </c>
      <c r="E77">
        <v>80189</v>
      </c>
    </row>
    <row r="78" spans="1:5" x14ac:dyDescent="0.3">
      <c r="A78" s="1">
        <v>45930</v>
      </c>
      <c r="B78" t="s">
        <v>23</v>
      </c>
      <c r="C78">
        <v>206.33787049</v>
      </c>
      <c r="D78">
        <v>916202232.72000003</v>
      </c>
      <c r="E78">
        <v>7193</v>
      </c>
    </row>
    <row r="79" spans="1:5" x14ac:dyDescent="0.3">
      <c r="A79" s="1">
        <v>45930</v>
      </c>
      <c r="B79" t="s">
        <v>24</v>
      </c>
      <c r="C79">
        <v>130.33427861000001</v>
      </c>
      <c r="D79">
        <v>271823785.62</v>
      </c>
      <c r="E79">
        <v>552</v>
      </c>
    </row>
    <row r="80" spans="1:5" x14ac:dyDescent="0.3">
      <c r="A80" s="1">
        <v>45930</v>
      </c>
      <c r="B80" t="s">
        <v>25</v>
      </c>
      <c r="C80">
        <v>160.29543200000001</v>
      </c>
      <c r="D80">
        <v>1186789207.8</v>
      </c>
      <c r="E80">
        <v>12368</v>
      </c>
    </row>
    <row r="81" spans="1:5" x14ac:dyDescent="0.3">
      <c r="A81" s="1">
        <v>45930</v>
      </c>
      <c r="B81" t="s">
        <v>26</v>
      </c>
      <c r="C81">
        <v>347.43418400000002</v>
      </c>
      <c r="D81">
        <v>2712754224.9499998</v>
      </c>
      <c r="E81">
        <v>36031</v>
      </c>
    </row>
    <row r="82" spans="1:5" x14ac:dyDescent="0.3">
      <c r="A82" s="1">
        <v>45930</v>
      </c>
      <c r="B82" t="s">
        <v>27</v>
      </c>
      <c r="C82">
        <v>11.72061527</v>
      </c>
      <c r="D82">
        <v>1201267646.29</v>
      </c>
      <c r="E82">
        <v>17223</v>
      </c>
    </row>
    <row r="83" spans="1:5" x14ac:dyDescent="0.3">
      <c r="A83" s="1">
        <v>45930</v>
      </c>
      <c r="B83" t="s">
        <v>28</v>
      </c>
      <c r="C83">
        <v>196.5501486</v>
      </c>
      <c r="D83">
        <v>330152510.06999999</v>
      </c>
      <c r="E83">
        <v>942</v>
      </c>
    </row>
    <row r="84" spans="1:5" x14ac:dyDescent="0.3">
      <c r="A84" s="1">
        <v>45930</v>
      </c>
      <c r="B84" t="s">
        <v>29</v>
      </c>
      <c r="C84">
        <v>169.00409590000001</v>
      </c>
      <c r="D84">
        <v>1416869051.3599999</v>
      </c>
      <c r="E84">
        <v>2160</v>
      </c>
    </row>
    <row r="85" spans="1:5" x14ac:dyDescent="0.3">
      <c r="A85" s="1">
        <v>45930</v>
      </c>
      <c r="B85" t="s">
        <v>32</v>
      </c>
      <c r="C85">
        <v>397.25437890000001</v>
      </c>
      <c r="D85">
        <v>379870300.24000001</v>
      </c>
      <c r="E85">
        <v>8738</v>
      </c>
    </row>
    <row r="86" spans="1:5" x14ac:dyDescent="0.3">
      <c r="A86" s="1">
        <v>45930</v>
      </c>
      <c r="B86" t="s">
        <v>33</v>
      </c>
      <c r="C86">
        <v>219.155531</v>
      </c>
      <c r="D86">
        <v>712552235.21000004</v>
      </c>
      <c r="E86">
        <v>6856</v>
      </c>
    </row>
    <row r="87" spans="1:5" x14ac:dyDescent="0.3">
      <c r="A87" s="1">
        <v>45930</v>
      </c>
      <c r="B87" t="s">
        <v>34</v>
      </c>
      <c r="C87">
        <v>228.79310000000001</v>
      </c>
      <c r="D87">
        <v>97265531.599999994</v>
      </c>
      <c r="E87">
        <v>3924</v>
      </c>
    </row>
    <row r="88" spans="1:5" x14ac:dyDescent="0.3">
      <c r="A88" s="1">
        <v>45930</v>
      </c>
      <c r="B88" t="s">
        <v>35</v>
      </c>
      <c r="C88">
        <v>235.7956131</v>
      </c>
      <c r="D88">
        <v>124571303.27</v>
      </c>
      <c r="E88">
        <v>897</v>
      </c>
    </row>
    <row r="89" spans="1:5" x14ac:dyDescent="0.3">
      <c r="A89" s="1">
        <v>45930</v>
      </c>
      <c r="B89" t="s">
        <v>40</v>
      </c>
      <c r="C89">
        <v>107.84736325999999</v>
      </c>
      <c r="D89">
        <v>163658374</v>
      </c>
      <c r="E89">
        <v>225</v>
      </c>
    </row>
    <row r="90" spans="1:5" x14ac:dyDescent="0.3">
      <c r="A90" s="1">
        <v>45939</v>
      </c>
      <c r="B90" t="s">
        <v>22</v>
      </c>
      <c r="C90">
        <v>168.95558728</v>
      </c>
      <c r="D90">
        <v>2928603624.1599998</v>
      </c>
      <c r="E90">
        <v>80015</v>
      </c>
    </row>
    <row r="91" spans="1:5" x14ac:dyDescent="0.3">
      <c r="A91" s="1">
        <v>45939</v>
      </c>
      <c r="B91" t="s">
        <v>23</v>
      </c>
      <c r="C91">
        <v>206.46415440999999</v>
      </c>
      <c r="D91">
        <v>964581522.33000004</v>
      </c>
      <c r="E91">
        <v>7202</v>
      </c>
    </row>
    <row r="92" spans="1:5" x14ac:dyDescent="0.3">
      <c r="A92" s="1">
        <v>45939</v>
      </c>
      <c r="B92" t="s">
        <v>24</v>
      </c>
      <c r="C92">
        <v>130.46580786999999</v>
      </c>
      <c r="D92">
        <v>293106174.69999999</v>
      </c>
      <c r="E92">
        <v>546</v>
      </c>
    </row>
    <row r="93" spans="1:5" x14ac:dyDescent="0.3">
      <c r="A93" s="1">
        <v>45939</v>
      </c>
      <c r="B93" t="s">
        <v>25</v>
      </c>
      <c r="C93">
        <v>160.45289</v>
      </c>
      <c r="D93">
        <v>1210142183.6500001</v>
      </c>
      <c r="E93">
        <v>12450</v>
      </c>
    </row>
    <row r="94" spans="1:5" x14ac:dyDescent="0.3">
      <c r="A94" s="1">
        <v>45939</v>
      </c>
      <c r="B94" t="s">
        <v>26</v>
      </c>
      <c r="C94">
        <v>347.74867799999998</v>
      </c>
      <c r="D94">
        <v>2695835758.3099999</v>
      </c>
      <c r="E94">
        <v>36224</v>
      </c>
    </row>
    <row r="95" spans="1:5" x14ac:dyDescent="0.3">
      <c r="A95" s="1">
        <v>45939</v>
      </c>
      <c r="B95" t="s">
        <v>27</v>
      </c>
      <c r="C95">
        <v>11.731005850000001</v>
      </c>
      <c r="D95">
        <v>1196654662</v>
      </c>
      <c r="E95">
        <v>17096</v>
      </c>
    </row>
    <row r="96" spans="1:5" x14ac:dyDescent="0.3">
      <c r="A96" s="1">
        <v>45939</v>
      </c>
      <c r="B96" t="s">
        <v>28</v>
      </c>
      <c r="C96">
        <v>196.71769019999999</v>
      </c>
      <c r="D96">
        <v>325599215.44</v>
      </c>
      <c r="E96">
        <v>936</v>
      </c>
    </row>
    <row r="97" spans="1:5" x14ac:dyDescent="0.3">
      <c r="A97" s="1">
        <v>45939</v>
      </c>
      <c r="B97" t="s">
        <v>29</v>
      </c>
      <c r="C97">
        <v>169.17041</v>
      </c>
      <c r="D97">
        <v>1561263617.4000001</v>
      </c>
      <c r="E97">
        <v>2168</v>
      </c>
    </row>
    <row r="98" spans="1:5" x14ac:dyDescent="0.3">
      <c r="A98" s="1">
        <v>45939</v>
      </c>
      <c r="B98" t="s">
        <v>32</v>
      </c>
      <c r="C98">
        <v>396.93344365000002</v>
      </c>
      <c r="D98">
        <v>386918774.95999998</v>
      </c>
      <c r="E98">
        <v>8808</v>
      </c>
    </row>
    <row r="99" spans="1:5" x14ac:dyDescent="0.3">
      <c r="A99" s="1">
        <v>45939</v>
      </c>
      <c r="B99" t="s">
        <v>33</v>
      </c>
      <c r="C99">
        <v>218.864071</v>
      </c>
      <c r="D99">
        <v>727217160.51999998</v>
      </c>
      <c r="E99">
        <v>6888</v>
      </c>
    </row>
    <row r="100" spans="1:5" x14ac:dyDescent="0.3">
      <c r="A100" s="1">
        <v>45939</v>
      </c>
      <c r="B100" t="s">
        <v>34</v>
      </c>
      <c r="C100">
        <v>228.6627</v>
      </c>
      <c r="D100">
        <v>101949300.45</v>
      </c>
      <c r="E100">
        <v>3939</v>
      </c>
    </row>
    <row r="101" spans="1:5" x14ac:dyDescent="0.3">
      <c r="A101" s="1">
        <v>45939</v>
      </c>
      <c r="B101" t="s">
        <v>35</v>
      </c>
      <c r="C101">
        <v>235.78312320000001</v>
      </c>
      <c r="D101">
        <v>125273127.11</v>
      </c>
      <c r="E101">
        <v>901</v>
      </c>
    </row>
    <row r="102" spans="1:5" x14ac:dyDescent="0.3">
      <c r="A102" s="1">
        <v>45939</v>
      </c>
      <c r="B102" t="s">
        <v>40</v>
      </c>
      <c r="C102">
        <v>107.89952589000001</v>
      </c>
      <c r="D102">
        <v>113833999.81</v>
      </c>
      <c r="E102">
        <v>216</v>
      </c>
    </row>
    <row r="103" spans="1:5" x14ac:dyDescent="0.3">
      <c r="A103" s="1">
        <v>45946</v>
      </c>
      <c r="B103" t="s">
        <v>22</v>
      </c>
      <c r="C103">
        <v>169.08254138999999</v>
      </c>
      <c r="D103">
        <v>2914627174.0599999</v>
      </c>
      <c r="E103">
        <v>79820</v>
      </c>
    </row>
    <row r="104" spans="1:5" x14ac:dyDescent="0.3">
      <c r="A104" s="1">
        <v>45946</v>
      </c>
      <c r="B104" t="s">
        <v>23</v>
      </c>
      <c r="C104">
        <v>206.54572515000001</v>
      </c>
      <c r="D104">
        <v>972196309.63999999</v>
      </c>
      <c r="E104">
        <v>7193</v>
      </c>
    </row>
    <row r="105" spans="1:5" x14ac:dyDescent="0.3">
      <c r="A105" s="1">
        <v>45946</v>
      </c>
      <c r="B105" t="s">
        <v>24</v>
      </c>
      <c r="C105">
        <v>130.56815967</v>
      </c>
      <c r="D105">
        <v>296784355.68000001</v>
      </c>
      <c r="E105">
        <v>544</v>
      </c>
    </row>
    <row r="106" spans="1:5" x14ac:dyDescent="0.3">
      <c r="A106" s="1">
        <v>45946</v>
      </c>
      <c r="B106" t="s">
        <v>25</v>
      </c>
      <c r="C106">
        <v>160.52851999999999</v>
      </c>
      <c r="D106">
        <v>1212087976.1900001</v>
      </c>
      <c r="E106">
        <v>12477</v>
      </c>
    </row>
    <row r="107" spans="1:5" x14ac:dyDescent="0.3">
      <c r="A107" s="1">
        <v>45946</v>
      </c>
      <c r="B107" t="s">
        <v>26</v>
      </c>
      <c r="C107">
        <v>347.98733499999997</v>
      </c>
      <c r="D107">
        <v>2651006720.9400001</v>
      </c>
      <c r="E107">
        <v>36406</v>
      </c>
    </row>
    <row r="108" spans="1:5" x14ac:dyDescent="0.3">
      <c r="A108" s="1">
        <v>45946</v>
      </c>
      <c r="B108" t="s">
        <v>27</v>
      </c>
      <c r="C108">
        <v>11.739330109999999</v>
      </c>
      <c r="D108">
        <v>1191454547.5899999</v>
      </c>
      <c r="E108">
        <v>16987</v>
      </c>
    </row>
    <row r="109" spans="1:5" x14ac:dyDescent="0.3">
      <c r="A109" s="1">
        <v>45946</v>
      </c>
      <c r="B109" t="s">
        <v>28</v>
      </c>
      <c r="C109">
        <v>196.89076600000001</v>
      </c>
      <c r="D109">
        <v>318362135.75999999</v>
      </c>
      <c r="E109">
        <v>936</v>
      </c>
    </row>
    <row r="110" spans="1:5" x14ac:dyDescent="0.3">
      <c r="A110" s="1">
        <v>45946</v>
      </c>
      <c r="B110" t="s">
        <v>29</v>
      </c>
      <c r="C110">
        <v>169.2899333</v>
      </c>
      <c r="D110">
        <v>1500452855.6900001</v>
      </c>
      <c r="E110">
        <v>2157</v>
      </c>
    </row>
    <row r="111" spans="1:5" x14ac:dyDescent="0.3">
      <c r="A111" s="1">
        <v>45946</v>
      </c>
      <c r="B111" t="s">
        <v>32</v>
      </c>
      <c r="C111">
        <v>397.37435775</v>
      </c>
      <c r="D111">
        <v>387165396.61000001</v>
      </c>
      <c r="E111">
        <v>8819</v>
      </c>
    </row>
    <row r="112" spans="1:5" x14ac:dyDescent="0.3">
      <c r="A112" s="1">
        <v>45946</v>
      </c>
      <c r="B112" t="s">
        <v>33</v>
      </c>
      <c r="C112">
        <v>219.21646100000001</v>
      </c>
      <c r="D112">
        <v>723641650.04999995</v>
      </c>
      <c r="E112">
        <v>6907</v>
      </c>
    </row>
    <row r="113" spans="1:5" x14ac:dyDescent="0.3">
      <c r="A113" s="1">
        <v>45946</v>
      </c>
      <c r="B113" t="s">
        <v>34</v>
      </c>
      <c r="C113">
        <v>229.0359</v>
      </c>
      <c r="D113">
        <v>102843532.77</v>
      </c>
      <c r="E113">
        <v>3951</v>
      </c>
    </row>
    <row r="114" spans="1:5" x14ac:dyDescent="0.3">
      <c r="A114" s="1">
        <v>45946</v>
      </c>
      <c r="B114" t="s">
        <v>35</v>
      </c>
      <c r="C114">
        <v>236.17500010000001</v>
      </c>
      <c r="D114">
        <v>124627197.23999999</v>
      </c>
      <c r="E114">
        <v>897</v>
      </c>
    </row>
    <row r="115" spans="1:5" x14ac:dyDescent="0.3">
      <c r="A115" s="1">
        <v>45946</v>
      </c>
      <c r="B115" t="s">
        <v>40</v>
      </c>
      <c r="C115">
        <v>107.59950000000001</v>
      </c>
      <c r="D115">
        <v>163282307</v>
      </c>
      <c r="E115">
        <v>239</v>
      </c>
    </row>
    <row r="116" spans="1:5" x14ac:dyDescent="0.3">
      <c r="A116" s="1">
        <v>45961</v>
      </c>
      <c r="B116" t="s">
        <v>22</v>
      </c>
      <c r="C116">
        <v>169.34801067999999</v>
      </c>
      <c r="D116">
        <v>2881515647.71</v>
      </c>
      <c r="E116">
        <v>79413</v>
      </c>
    </row>
    <row r="117" spans="1:5" x14ac:dyDescent="0.3">
      <c r="A117" s="1">
        <v>45961</v>
      </c>
      <c r="B117" t="s">
        <v>23</v>
      </c>
      <c r="C117">
        <v>206.89603886</v>
      </c>
      <c r="D117">
        <v>972485492.37</v>
      </c>
      <c r="E117">
        <v>7201</v>
      </c>
    </row>
    <row r="118" spans="1:5" x14ac:dyDescent="0.3">
      <c r="A118" s="1">
        <v>45961</v>
      </c>
      <c r="B118" t="s">
        <v>24</v>
      </c>
      <c r="C118">
        <v>130.78976039</v>
      </c>
      <c r="D118">
        <v>256081799.15000001</v>
      </c>
      <c r="E118">
        <v>539</v>
      </c>
    </row>
    <row r="119" spans="1:5" x14ac:dyDescent="0.3">
      <c r="A119" s="1">
        <v>45961</v>
      </c>
      <c r="B119" t="s">
        <v>25</v>
      </c>
      <c r="C119">
        <v>160.68935400000001</v>
      </c>
      <c r="D119">
        <v>1188379776.6099999</v>
      </c>
      <c r="E119">
        <v>12553</v>
      </c>
    </row>
    <row r="120" spans="1:5" x14ac:dyDescent="0.3">
      <c r="A120" s="1">
        <v>45961</v>
      </c>
      <c r="B120" t="s">
        <v>26</v>
      </c>
      <c r="C120">
        <v>348.520308</v>
      </c>
      <c r="D120">
        <v>2661416365.75</v>
      </c>
      <c r="E120">
        <v>36809</v>
      </c>
    </row>
    <row r="121" spans="1:5" x14ac:dyDescent="0.3">
      <c r="A121" s="1">
        <v>45961</v>
      </c>
      <c r="B121" t="s">
        <v>27</v>
      </c>
      <c r="C121">
        <v>11.75824705</v>
      </c>
      <c r="D121">
        <v>1156942034.77</v>
      </c>
      <c r="E121">
        <v>16847</v>
      </c>
    </row>
    <row r="122" spans="1:5" x14ac:dyDescent="0.3">
      <c r="A122" s="1">
        <v>45961</v>
      </c>
      <c r="B122" t="s">
        <v>28</v>
      </c>
      <c r="C122">
        <v>197.17737410000001</v>
      </c>
      <c r="D122">
        <v>309110107.35000002</v>
      </c>
      <c r="E122">
        <v>928</v>
      </c>
    </row>
    <row r="123" spans="1:5" x14ac:dyDescent="0.3">
      <c r="A123" s="1">
        <v>45961</v>
      </c>
      <c r="B123" t="s">
        <v>29</v>
      </c>
      <c r="C123">
        <v>169.5712072</v>
      </c>
      <c r="D123">
        <v>1504501508</v>
      </c>
      <c r="E123">
        <v>2132</v>
      </c>
    </row>
    <row r="124" spans="1:5" x14ac:dyDescent="0.3">
      <c r="A124" s="1">
        <v>45961</v>
      </c>
      <c r="B124" t="s">
        <v>32</v>
      </c>
      <c r="C124">
        <v>398.47251691000002</v>
      </c>
      <c r="D124">
        <v>396705750.75</v>
      </c>
      <c r="E124">
        <v>8860</v>
      </c>
    </row>
    <row r="125" spans="1:5" x14ac:dyDescent="0.3">
      <c r="A125" s="1">
        <v>45961</v>
      </c>
      <c r="B125" t="s">
        <v>33</v>
      </c>
      <c r="C125">
        <v>219.630042</v>
      </c>
      <c r="D125">
        <v>734812669.24000001</v>
      </c>
      <c r="E125">
        <v>6997</v>
      </c>
    </row>
    <row r="126" spans="1:5" x14ac:dyDescent="0.3">
      <c r="A126" s="1">
        <v>45961</v>
      </c>
      <c r="B126" t="s">
        <v>34</v>
      </c>
      <c r="C126">
        <v>229.2867</v>
      </c>
      <c r="D126">
        <v>103939528.25</v>
      </c>
      <c r="E126">
        <v>3972</v>
      </c>
    </row>
    <row r="127" spans="1:5" x14ac:dyDescent="0.3">
      <c r="A127" s="1">
        <v>45961</v>
      </c>
      <c r="B127" t="s">
        <v>35</v>
      </c>
      <c r="C127">
        <v>236.33786749999999</v>
      </c>
      <c r="D127">
        <v>125768006.2</v>
      </c>
      <c r="E127">
        <v>892</v>
      </c>
    </row>
    <row r="128" spans="1:5" x14ac:dyDescent="0.3">
      <c r="A128" s="1">
        <v>45961</v>
      </c>
      <c r="B128" t="s">
        <v>40</v>
      </c>
      <c r="C128">
        <v>108.20357921</v>
      </c>
      <c r="D128">
        <v>164469440</v>
      </c>
      <c r="E128">
        <v>240</v>
      </c>
    </row>
    <row r="129" spans="1:5" x14ac:dyDescent="0.3">
      <c r="A129" s="1">
        <v>45991</v>
      </c>
      <c r="B129" t="s">
        <v>22</v>
      </c>
      <c r="C129">
        <v>169.89725994</v>
      </c>
      <c r="D129">
        <v>2774755450.3899999</v>
      </c>
      <c r="E129">
        <v>78693</v>
      </c>
    </row>
    <row r="130" spans="1:5" x14ac:dyDescent="0.3">
      <c r="A130" s="1">
        <v>45991</v>
      </c>
      <c r="B130" t="s">
        <v>23</v>
      </c>
      <c r="C130">
        <v>207.59373528</v>
      </c>
      <c r="D130">
        <v>927872648.64999998</v>
      </c>
      <c r="E130">
        <v>7160</v>
      </c>
    </row>
    <row r="131" spans="1:5" x14ac:dyDescent="0.3">
      <c r="A131" s="1">
        <v>45991</v>
      </c>
      <c r="B131" t="s">
        <v>24</v>
      </c>
      <c r="C131">
        <v>131.23363684</v>
      </c>
      <c r="D131">
        <v>251796267.63</v>
      </c>
      <c r="E131">
        <v>535</v>
      </c>
    </row>
    <row r="132" spans="1:5" x14ac:dyDescent="0.3">
      <c r="A132" s="1">
        <v>45991</v>
      </c>
      <c r="B132" t="s">
        <v>25</v>
      </c>
      <c r="C132">
        <v>161.28463400000001</v>
      </c>
      <c r="D132">
        <v>1187961385.03</v>
      </c>
      <c r="E132">
        <v>12776</v>
      </c>
    </row>
    <row r="133" spans="1:5" x14ac:dyDescent="0.3">
      <c r="A133" s="1">
        <v>45991</v>
      </c>
      <c r="B133" t="s">
        <v>26</v>
      </c>
      <c r="C133">
        <v>349.62951199999998</v>
      </c>
      <c r="D133">
        <v>2707411558.3099999</v>
      </c>
      <c r="E133">
        <v>37790</v>
      </c>
    </row>
    <row r="134" spans="1:5" x14ac:dyDescent="0.3">
      <c r="A134" s="1">
        <v>45991</v>
      </c>
      <c r="B134" t="s">
        <v>27</v>
      </c>
      <c r="C134">
        <v>11.79905789</v>
      </c>
      <c r="D134">
        <v>1148623015.5899999</v>
      </c>
      <c r="E134">
        <v>16641</v>
      </c>
    </row>
    <row r="135" spans="1:5" x14ac:dyDescent="0.3">
      <c r="A135" s="1">
        <v>45991</v>
      </c>
      <c r="B135" t="s">
        <v>28</v>
      </c>
      <c r="C135">
        <v>197.84052919999999</v>
      </c>
      <c r="D135">
        <v>270640934.47000003</v>
      </c>
      <c r="E135">
        <v>916</v>
      </c>
    </row>
    <row r="136" spans="1:5" x14ac:dyDescent="0.3">
      <c r="A136" s="1">
        <v>45991</v>
      </c>
      <c r="B136" t="s">
        <v>29</v>
      </c>
      <c r="C136">
        <v>170.1964116</v>
      </c>
      <c r="D136">
        <v>1402076867.8699999</v>
      </c>
      <c r="E136">
        <v>2103</v>
      </c>
    </row>
    <row r="137" spans="1:5" x14ac:dyDescent="0.3">
      <c r="A137" s="1">
        <v>45991</v>
      </c>
      <c r="B137" t="s">
        <v>32</v>
      </c>
      <c r="C137">
        <v>400.43885283999998</v>
      </c>
      <c r="D137">
        <v>413932498.5</v>
      </c>
      <c r="E137">
        <v>8911</v>
      </c>
    </row>
    <row r="138" spans="1:5" x14ac:dyDescent="0.3">
      <c r="A138" s="1">
        <v>45991</v>
      </c>
      <c r="B138" t="s">
        <v>33</v>
      </c>
      <c r="C138">
        <v>220.76745099999999</v>
      </c>
      <c r="D138">
        <v>761136369.88999999</v>
      </c>
      <c r="E138">
        <v>7209</v>
      </c>
    </row>
    <row r="139" spans="1:5" x14ac:dyDescent="0.3">
      <c r="A139" s="1">
        <v>45991</v>
      </c>
      <c r="B139" t="s">
        <v>34</v>
      </c>
      <c r="C139">
        <v>230.49469999999999</v>
      </c>
      <c r="D139">
        <v>109662203.91</v>
      </c>
      <c r="E139">
        <v>4140</v>
      </c>
    </row>
    <row r="140" spans="1:5" x14ac:dyDescent="0.3">
      <c r="A140" s="1">
        <v>45991</v>
      </c>
      <c r="B140" t="s">
        <v>35</v>
      </c>
      <c r="C140">
        <v>237.84235090000001</v>
      </c>
      <c r="D140">
        <v>127028257.98999999</v>
      </c>
      <c r="E140">
        <v>905</v>
      </c>
    </row>
    <row r="141" spans="1:5" x14ac:dyDescent="0.3">
      <c r="A141" s="1">
        <v>45991</v>
      </c>
      <c r="B141" t="s">
        <v>40</v>
      </c>
      <c r="C141">
        <v>109.71508005</v>
      </c>
      <c r="D141">
        <v>167041209</v>
      </c>
      <c r="E141">
        <v>294</v>
      </c>
    </row>
    <row r="142" spans="1:5" x14ac:dyDescent="0.3">
      <c r="A142" s="1">
        <v>46022</v>
      </c>
      <c r="B142" t="s">
        <v>22</v>
      </c>
      <c r="C142">
        <v>170.46159245999999</v>
      </c>
      <c r="D142">
        <v>2757505401.1999998</v>
      </c>
      <c r="E142">
        <v>78091</v>
      </c>
    </row>
    <row r="143" spans="1:5" x14ac:dyDescent="0.3">
      <c r="A143" s="1">
        <v>46022</v>
      </c>
      <c r="B143" t="s">
        <v>23</v>
      </c>
      <c r="C143">
        <v>208.31806234999999</v>
      </c>
      <c r="D143">
        <v>918868055.85000002</v>
      </c>
      <c r="E143">
        <v>7149</v>
      </c>
    </row>
    <row r="144" spans="1:5" x14ac:dyDescent="0.3">
      <c r="A144" s="1">
        <v>46022</v>
      </c>
      <c r="B144" t="s">
        <v>24</v>
      </c>
      <c r="C144">
        <v>131.6919245</v>
      </c>
      <c r="D144">
        <v>256864855.19</v>
      </c>
      <c r="E144">
        <v>519</v>
      </c>
    </row>
    <row r="145" spans="1:5" x14ac:dyDescent="0.3">
      <c r="A145" s="1">
        <v>46022</v>
      </c>
      <c r="B145" t="s">
        <v>25</v>
      </c>
      <c r="C145">
        <v>161.838584</v>
      </c>
      <c r="D145">
        <v>1215687489.1700001</v>
      </c>
      <c r="E145">
        <v>12994</v>
      </c>
    </row>
    <row r="146" spans="1:5" x14ac:dyDescent="0.3">
      <c r="A146" s="1">
        <v>46022</v>
      </c>
      <c r="B146" t="s">
        <v>26</v>
      </c>
      <c r="C146">
        <v>350.75661400000001</v>
      </c>
      <c r="D146">
        <v>2704117777.5900002</v>
      </c>
      <c r="E146">
        <v>38857</v>
      </c>
    </row>
    <row r="147" spans="1:5" x14ac:dyDescent="0.3">
      <c r="A147" s="1">
        <v>46022</v>
      </c>
      <c r="B147" t="s">
        <v>27</v>
      </c>
      <c r="C147">
        <v>11.838826660000001</v>
      </c>
      <c r="D147">
        <v>1133807674.1700001</v>
      </c>
      <c r="E147">
        <v>16495</v>
      </c>
    </row>
    <row r="148" spans="1:5" x14ac:dyDescent="0.3">
      <c r="A148" s="1">
        <v>46022</v>
      </c>
      <c r="B148" t="s">
        <v>28</v>
      </c>
      <c r="C148">
        <v>198.572138</v>
      </c>
      <c r="D148">
        <v>284653202.20999998</v>
      </c>
      <c r="E148">
        <v>908</v>
      </c>
    </row>
    <row r="149" spans="1:5" x14ac:dyDescent="0.3">
      <c r="A149" s="1">
        <v>46022</v>
      </c>
      <c r="B149" t="s">
        <v>29</v>
      </c>
      <c r="C149">
        <v>170.7741771</v>
      </c>
      <c r="D149">
        <v>1440431627.4200001</v>
      </c>
      <c r="E149">
        <v>2065</v>
      </c>
    </row>
    <row r="150" spans="1:5" x14ac:dyDescent="0.3">
      <c r="A150" s="1">
        <v>46022</v>
      </c>
      <c r="B150" t="s">
        <v>32</v>
      </c>
      <c r="C150">
        <v>402.45125322000001</v>
      </c>
      <c r="D150">
        <v>435072515.97000003</v>
      </c>
      <c r="E150">
        <v>8934</v>
      </c>
    </row>
    <row r="151" spans="1:5" x14ac:dyDescent="0.3">
      <c r="A151" s="1">
        <v>46022</v>
      </c>
      <c r="B151" t="s">
        <v>33</v>
      </c>
      <c r="C151">
        <v>221.85736299999999</v>
      </c>
      <c r="D151">
        <v>798725071.94000006</v>
      </c>
      <c r="E151">
        <v>7502</v>
      </c>
    </row>
    <row r="152" spans="1:5" x14ac:dyDescent="0.3">
      <c r="A152" s="1">
        <v>46022</v>
      </c>
      <c r="B152" t="s">
        <v>34</v>
      </c>
      <c r="C152">
        <v>231.2962</v>
      </c>
      <c r="D152">
        <v>113809087.08</v>
      </c>
      <c r="E152">
        <v>4383</v>
      </c>
    </row>
    <row r="153" spans="1:5" x14ac:dyDescent="0.3">
      <c r="A153" s="1">
        <v>46022</v>
      </c>
      <c r="B153" t="s">
        <v>35</v>
      </c>
      <c r="C153">
        <v>239.07441919999999</v>
      </c>
      <c r="D153">
        <v>130310931.52</v>
      </c>
      <c r="E153">
        <v>915</v>
      </c>
    </row>
    <row r="154" spans="1:5" x14ac:dyDescent="0.3">
      <c r="A154" s="1">
        <v>46022</v>
      </c>
      <c r="B154" t="s">
        <v>40</v>
      </c>
      <c r="C154">
        <v>110.61604921999999</v>
      </c>
      <c r="D154">
        <v>167859855</v>
      </c>
      <c r="E154">
        <v>328</v>
      </c>
    </row>
    <row r="155" spans="1:5" x14ac:dyDescent="0.3">
      <c r="A155" s="1">
        <v>46053</v>
      </c>
      <c r="B155" t="s">
        <v>22</v>
      </c>
      <c r="C155">
        <v>171.02995018999999</v>
      </c>
      <c r="D155">
        <v>2769789323.1599998</v>
      </c>
      <c r="E155">
        <v>77713</v>
      </c>
    </row>
    <row r="156" spans="1:5" x14ac:dyDescent="0.3">
      <c r="A156" s="1">
        <v>46053</v>
      </c>
      <c r="B156" t="s">
        <v>23</v>
      </c>
      <c r="C156">
        <v>209.35727355</v>
      </c>
      <c r="D156">
        <v>948054761.87</v>
      </c>
      <c r="E156">
        <v>7228</v>
      </c>
    </row>
    <row r="157" spans="1:5" x14ac:dyDescent="0.3">
      <c r="A157" s="1">
        <v>46053</v>
      </c>
      <c r="B157" t="s">
        <v>24</v>
      </c>
      <c r="C157">
        <v>132.14481548000001</v>
      </c>
      <c r="D157">
        <v>250908393.58000001</v>
      </c>
      <c r="E157">
        <v>518</v>
      </c>
    </row>
    <row r="158" spans="1:5" x14ac:dyDescent="0.3">
      <c r="A158" s="1">
        <v>46053</v>
      </c>
      <c r="B158" t="s">
        <v>25</v>
      </c>
      <c r="C158">
        <v>162.52818600000001</v>
      </c>
      <c r="D158">
        <v>1251311163.75</v>
      </c>
      <c r="E158">
        <v>13198</v>
      </c>
    </row>
    <row r="159" spans="1:5" x14ac:dyDescent="0.3">
      <c r="A159" s="1">
        <v>46053</v>
      </c>
      <c r="B159" t="s">
        <v>26</v>
      </c>
      <c r="C159">
        <v>351.96363200000002</v>
      </c>
      <c r="D159">
        <v>2742090456.1100001</v>
      </c>
      <c r="E159">
        <v>39825</v>
      </c>
    </row>
    <row r="160" spans="1:5" x14ac:dyDescent="0.3">
      <c r="A160" s="1">
        <v>46053</v>
      </c>
      <c r="B160" t="s">
        <v>27</v>
      </c>
      <c r="C160">
        <v>11.884595190000001</v>
      </c>
      <c r="D160">
        <v>1133474038.6800001</v>
      </c>
      <c r="E160">
        <v>16226</v>
      </c>
    </row>
    <row r="161" spans="1:5" x14ac:dyDescent="0.3">
      <c r="A161" s="1">
        <v>46053</v>
      </c>
      <c r="B161" t="s">
        <v>28</v>
      </c>
      <c r="C161">
        <v>199.39653469999999</v>
      </c>
      <c r="D161">
        <v>310788098.92000002</v>
      </c>
      <c r="E161">
        <v>918</v>
      </c>
    </row>
    <row r="162" spans="1:5" x14ac:dyDescent="0.3">
      <c r="A162" s="1">
        <v>46053</v>
      </c>
      <c r="B162" t="s">
        <v>29</v>
      </c>
      <c r="C162">
        <v>171.45064619999999</v>
      </c>
      <c r="D162">
        <v>1505159651.4200001</v>
      </c>
      <c r="E162">
        <v>2053</v>
      </c>
    </row>
    <row r="163" spans="1:5" x14ac:dyDescent="0.3">
      <c r="A163" s="1">
        <v>46053</v>
      </c>
      <c r="B163" t="s">
        <v>32</v>
      </c>
      <c r="C163">
        <v>404.55440390000001</v>
      </c>
      <c r="D163">
        <v>464639503.13</v>
      </c>
      <c r="E163">
        <v>8989</v>
      </c>
    </row>
    <row r="164" spans="1:5" x14ac:dyDescent="0.3">
      <c r="A164" s="1">
        <v>46053</v>
      </c>
      <c r="B164" t="s">
        <v>33</v>
      </c>
      <c r="C164">
        <v>223.126869</v>
      </c>
      <c r="D164">
        <v>828997058.11000001</v>
      </c>
      <c r="E164">
        <v>7686</v>
      </c>
    </row>
    <row r="165" spans="1:5" x14ac:dyDescent="0.3">
      <c r="A165" s="1">
        <v>46053</v>
      </c>
      <c r="B165" t="s">
        <v>34</v>
      </c>
      <c r="C165">
        <v>232.62530000000001</v>
      </c>
      <c r="D165">
        <v>114791567.48</v>
      </c>
      <c r="E165">
        <v>4526</v>
      </c>
    </row>
    <row r="166" spans="1:5" x14ac:dyDescent="0.3">
      <c r="A166" s="1">
        <v>46053</v>
      </c>
      <c r="B166" t="s">
        <v>35</v>
      </c>
      <c r="C166">
        <v>240.5238555</v>
      </c>
      <c r="D166">
        <v>132005986.44</v>
      </c>
      <c r="E166">
        <v>922</v>
      </c>
    </row>
    <row r="167" spans="1:5" x14ac:dyDescent="0.3">
      <c r="A167" s="1">
        <v>46053</v>
      </c>
      <c r="B167" t="s">
        <v>40</v>
      </c>
      <c r="C167">
        <v>111.64530344000001</v>
      </c>
      <c r="D167" s="20">
        <v>171096427.52000001</v>
      </c>
      <c r="E167">
        <v>360</v>
      </c>
    </row>
    <row r="168" spans="1:5" x14ac:dyDescent="0.3">
      <c r="A168" s="1">
        <v>46081</v>
      </c>
      <c r="B168" t="s">
        <v>22</v>
      </c>
      <c r="C168">
        <v>171.51920490000001</v>
      </c>
      <c r="D168">
        <v>2760102537.9200001</v>
      </c>
      <c r="E168">
        <v>77535</v>
      </c>
    </row>
    <row r="169" spans="1:5" x14ac:dyDescent="0.3">
      <c r="A169" s="1">
        <v>46081</v>
      </c>
      <c r="B169" t="s">
        <v>23</v>
      </c>
      <c r="C169">
        <v>210.11623319</v>
      </c>
      <c r="D169">
        <v>967078061.39999998</v>
      </c>
      <c r="E169">
        <v>7337</v>
      </c>
    </row>
    <row r="170" spans="1:5" x14ac:dyDescent="0.3">
      <c r="A170" s="1">
        <v>46081</v>
      </c>
      <c r="B170" t="s">
        <v>24</v>
      </c>
      <c r="C170">
        <v>132.54790410999999</v>
      </c>
      <c r="D170">
        <v>243198553.69999999</v>
      </c>
      <c r="E170">
        <v>510</v>
      </c>
    </row>
    <row r="171" spans="1:5" x14ac:dyDescent="0.3">
      <c r="A171" s="1">
        <v>46081</v>
      </c>
      <c r="B171" t="s">
        <v>25</v>
      </c>
      <c r="C171">
        <v>163.04280900000001</v>
      </c>
      <c r="D171">
        <v>1305521836.0699999</v>
      </c>
      <c r="E171">
        <v>13470</v>
      </c>
    </row>
    <row r="172" spans="1:5" x14ac:dyDescent="0.3">
      <c r="A172" s="1">
        <v>46081</v>
      </c>
      <c r="B172" t="s">
        <v>26</v>
      </c>
      <c r="C172">
        <v>352.93574599999999</v>
      </c>
      <c r="D172">
        <v>2730394671.73</v>
      </c>
      <c r="E172">
        <v>40490</v>
      </c>
    </row>
    <row r="173" spans="1:5" x14ac:dyDescent="0.3">
      <c r="A173" s="1">
        <v>46081</v>
      </c>
      <c r="B173" t="s">
        <v>27</v>
      </c>
      <c r="C173">
        <v>11.917306140000001</v>
      </c>
      <c r="D173">
        <v>1153635866.1700001</v>
      </c>
      <c r="E173">
        <v>16227</v>
      </c>
    </row>
    <row r="174" spans="1:5" x14ac:dyDescent="0.3">
      <c r="A174" s="1">
        <v>46081</v>
      </c>
      <c r="B174" t="s">
        <v>28</v>
      </c>
      <c r="C174">
        <v>200.05883850000001</v>
      </c>
      <c r="D174">
        <v>309551670.10000002</v>
      </c>
      <c r="E174">
        <v>925</v>
      </c>
    </row>
    <row r="175" spans="1:5" x14ac:dyDescent="0.3">
      <c r="A175" s="1">
        <v>46081</v>
      </c>
      <c r="B175" t="s">
        <v>29</v>
      </c>
      <c r="C175">
        <v>171.93200049999999</v>
      </c>
      <c r="D175">
        <v>1387673680.3599999</v>
      </c>
      <c r="E175">
        <v>2024</v>
      </c>
    </row>
    <row r="176" spans="1:5" x14ac:dyDescent="0.3">
      <c r="A176" s="1">
        <v>46081</v>
      </c>
      <c r="B176" t="s">
        <v>32</v>
      </c>
      <c r="C176">
        <v>406.08190055</v>
      </c>
      <c r="D176">
        <v>496981766.69</v>
      </c>
      <c r="E176">
        <v>9131</v>
      </c>
    </row>
    <row r="177" spans="1:5" x14ac:dyDescent="0.3">
      <c r="A177" s="1">
        <v>46081</v>
      </c>
      <c r="B177" t="s">
        <v>33</v>
      </c>
      <c r="C177">
        <v>224.07479599999999</v>
      </c>
      <c r="D177">
        <v>876753033.20000005</v>
      </c>
      <c r="E177">
        <v>7994</v>
      </c>
    </row>
    <row r="178" spans="1:5" x14ac:dyDescent="0.3">
      <c r="A178" s="1">
        <v>46081</v>
      </c>
      <c r="B178" t="s">
        <v>34</v>
      </c>
      <c r="C178">
        <v>233.3922</v>
      </c>
      <c r="D178">
        <v>124712405.39</v>
      </c>
      <c r="E178">
        <v>4736</v>
      </c>
    </row>
    <row r="179" spans="1:5" x14ac:dyDescent="0.3">
      <c r="A179" s="1">
        <v>46081</v>
      </c>
      <c r="B179" t="s">
        <v>35</v>
      </c>
      <c r="C179">
        <v>240.97338930000001</v>
      </c>
      <c r="D179">
        <v>133580155.59999999</v>
      </c>
      <c r="E179">
        <v>924</v>
      </c>
    </row>
    <row r="180" spans="1:5" x14ac:dyDescent="0.3">
      <c r="A180" s="1">
        <v>46081</v>
      </c>
      <c r="B180" t="s">
        <v>40</v>
      </c>
      <c r="C180">
        <v>111.71105032</v>
      </c>
      <c r="D180">
        <v>172593572.74000001</v>
      </c>
      <c r="E180">
        <v>398</v>
      </c>
    </row>
    <row r="181" spans="1:5" x14ac:dyDescent="0.3">
      <c r="A181" s="1">
        <v>46112</v>
      </c>
      <c r="B181" t="s">
        <v>22</v>
      </c>
      <c r="C181">
        <v>172.04416921999999</v>
      </c>
      <c r="D181">
        <v>2795406593.8000002</v>
      </c>
      <c r="E181">
        <v>77351</v>
      </c>
    </row>
    <row r="182" spans="1:5" x14ac:dyDescent="0.3">
      <c r="A182" s="1">
        <v>46112</v>
      </c>
      <c r="B182" t="s">
        <v>23</v>
      </c>
      <c r="C182">
        <v>210.09646728000001</v>
      </c>
      <c r="D182">
        <v>965670176.30999994</v>
      </c>
      <c r="E182">
        <v>7309</v>
      </c>
    </row>
    <row r="183" spans="1:5" x14ac:dyDescent="0.3">
      <c r="A183" s="1">
        <v>46112</v>
      </c>
      <c r="B183" t="s">
        <v>24</v>
      </c>
      <c r="C183">
        <v>132.99207010000001</v>
      </c>
      <c r="D183">
        <v>272938995.32999998</v>
      </c>
      <c r="E183">
        <v>517</v>
      </c>
    </row>
    <row r="184" spans="1:5" x14ac:dyDescent="0.3">
      <c r="A184" s="1">
        <v>46112</v>
      </c>
      <c r="B184" t="s">
        <v>25</v>
      </c>
      <c r="C184">
        <v>162.99623299999999</v>
      </c>
      <c r="D184">
        <v>1310044225.79</v>
      </c>
      <c r="E184">
        <v>13493</v>
      </c>
    </row>
    <row r="185" spans="1:5" x14ac:dyDescent="0.3">
      <c r="A185" s="1">
        <v>46112</v>
      </c>
      <c r="B185" t="s">
        <v>26</v>
      </c>
      <c r="C185">
        <v>354.04114800000002</v>
      </c>
      <c r="D185">
        <v>2878841374.4099998</v>
      </c>
      <c r="E185">
        <v>41592</v>
      </c>
    </row>
    <row r="186" spans="1:5" x14ac:dyDescent="0.3">
      <c r="A186" s="1">
        <v>46112</v>
      </c>
      <c r="B186" t="s">
        <v>27</v>
      </c>
      <c r="C186">
        <v>11.94849765</v>
      </c>
      <c r="D186">
        <v>1195433069.5899999</v>
      </c>
      <c r="E186">
        <v>16331</v>
      </c>
    </row>
    <row r="187" spans="1:5" x14ac:dyDescent="0.3">
      <c r="A187" s="1">
        <v>46112</v>
      </c>
      <c r="B187" t="s">
        <v>28</v>
      </c>
      <c r="C187">
        <v>199.91493370000001</v>
      </c>
      <c r="D187">
        <v>250387309.88</v>
      </c>
      <c r="E187">
        <v>916</v>
      </c>
    </row>
    <row r="188" spans="1:5" x14ac:dyDescent="0.3">
      <c r="A188" s="1">
        <v>46112</v>
      </c>
      <c r="B188" t="s">
        <v>29</v>
      </c>
      <c r="C188">
        <v>172.43487279999999</v>
      </c>
      <c r="D188">
        <v>1342700355.78</v>
      </c>
      <c r="E188">
        <v>2035</v>
      </c>
    </row>
    <row r="189" spans="1:5" x14ac:dyDescent="0.3">
      <c r="A189" s="1">
        <v>46112</v>
      </c>
      <c r="B189" t="s">
        <v>32</v>
      </c>
      <c r="C189">
        <v>401.44983323000002</v>
      </c>
      <c r="D189">
        <v>481830541.19</v>
      </c>
      <c r="E189">
        <v>8721</v>
      </c>
    </row>
    <row r="190" spans="1:5" x14ac:dyDescent="0.3">
      <c r="A190" s="1">
        <v>46112</v>
      </c>
      <c r="B190" t="s">
        <v>33</v>
      </c>
      <c r="C190">
        <v>221.98569599999999</v>
      </c>
      <c r="D190">
        <v>827238094.24000001</v>
      </c>
      <c r="E190">
        <v>8005</v>
      </c>
    </row>
    <row r="191" spans="1:5" x14ac:dyDescent="0.3">
      <c r="A191" s="1">
        <v>46112</v>
      </c>
      <c r="B191" t="s">
        <v>34</v>
      </c>
      <c r="C191">
        <v>230.80369999999999</v>
      </c>
      <c r="D191">
        <v>111684808.62</v>
      </c>
      <c r="E191">
        <v>4579</v>
      </c>
    </row>
    <row r="192" spans="1:5" x14ac:dyDescent="0.3">
      <c r="A192" s="1">
        <v>46112</v>
      </c>
      <c r="B192" t="s">
        <v>35</v>
      </c>
      <c r="C192">
        <v>238.5323176</v>
      </c>
      <c r="D192">
        <v>128323465.92</v>
      </c>
      <c r="E192">
        <v>913</v>
      </c>
    </row>
    <row r="193" spans="1:18" x14ac:dyDescent="0.3">
      <c r="A193" s="1">
        <v>46112</v>
      </c>
      <c r="B193" t="s">
        <v>40</v>
      </c>
      <c r="C193">
        <v>107.91394041</v>
      </c>
      <c r="D193">
        <v>191277459.38</v>
      </c>
      <c r="E193">
        <v>338</v>
      </c>
    </row>
    <row r="194" spans="1:18" x14ac:dyDescent="0.3">
      <c r="A194" s="1">
        <v>46142</v>
      </c>
      <c r="B194" t="s">
        <v>22</v>
      </c>
      <c r="C194">
        <v>172.59621182999999</v>
      </c>
      <c r="D194">
        <v>2759700883.4200001</v>
      </c>
      <c r="E194">
        <v>77141</v>
      </c>
    </row>
    <row r="195" spans="1:18" x14ac:dyDescent="0.3">
      <c r="A195" s="1">
        <v>46142</v>
      </c>
      <c r="B195" t="s">
        <v>23</v>
      </c>
      <c r="C195">
        <v>211.12221948999999</v>
      </c>
      <c r="D195">
        <v>902080220.38999999</v>
      </c>
      <c r="E195">
        <v>7289</v>
      </c>
    </row>
    <row r="196" spans="1:18" x14ac:dyDescent="0.3">
      <c r="A196" s="1">
        <v>46142</v>
      </c>
      <c r="B196" t="s">
        <v>24</v>
      </c>
      <c r="C196">
        <v>133.42620184</v>
      </c>
      <c r="D196">
        <v>288208407.72000003</v>
      </c>
      <c r="E196">
        <v>534</v>
      </c>
    </row>
    <row r="197" spans="1:18" x14ac:dyDescent="0.3">
      <c r="A197" s="1">
        <v>46142</v>
      </c>
      <c r="B197" t="s">
        <v>25</v>
      </c>
      <c r="C197">
        <v>163.721102</v>
      </c>
      <c r="D197">
        <v>1307610404.8299999</v>
      </c>
      <c r="E197">
        <v>13523</v>
      </c>
    </row>
    <row r="198" spans="1:18" x14ac:dyDescent="0.3">
      <c r="A198" s="1">
        <v>46142</v>
      </c>
      <c r="B198" t="s">
        <v>26</v>
      </c>
      <c r="C198">
        <v>355.20415800000001</v>
      </c>
      <c r="D198">
        <v>3087724539.8400002</v>
      </c>
      <c r="E198">
        <v>42706</v>
      </c>
    </row>
    <row r="199" spans="1:18" x14ac:dyDescent="0.3">
      <c r="A199" s="1">
        <v>46142</v>
      </c>
      <c r="B199" t="s">
        <v>27</v>
      </c>
      <c r="C199">
        <v>11.99146614</v>
      </c>
      <c r="D199">
        <v>1274040463.7</v>
      </c>
      <c r="E199">
        <v>16547</v>
      </c>
      <c r="I199">
        <v>1.98</v>
      </c>
      <c r="J199">
        <v>3.17</v>
      </c>
      <c r="K199">
        <v>3.47</v>
      </c>
      <c r="L199">
        <v>4.0999999999999996</v>
      </c>
      <c r="M199">
        <v>3.64</v>
      </c>
      <c r="N199">
        <v>3.76</v>
      </c>
      <c r="O199">
        <v>3.95</v>
      </c>
      <c r="P199">
        <v>4.3099999999999996</v>
      </c>
      <c r="Q199">
        <v>4.53</v>
      </c>
      <c r="R199">
        <v>4.38</v>
      </c>
    </row>
    <row r="200" spans="1:18" x14ac:dyDescent="0.3">
      <c r="A200" s="1">
        <v>46142</v>
      </c>
      <c r="B200" t="s">
        <v>28</v>
      </c>
      <c r="C200">
        <v>200.90346869999999</v>
      </c>
      <c r="D200">
        <v>272687667.14999998</v>
      </c>
      <c r="E200">
        <v>928</v>
      </c>
      <c r="I200" t="s">
        <v>405</v>
      </c>
      <c r="J200">
        <v>0.82</v>
      </c>
      <c r="K200">
        <v>2.11</v>
      </c>
      <c r="L200">
        <v>3.5</v>
      </c>
      <c r="M200">
        <v>4.33</v>
      </c>
      <c r="N200">
        <v>3.12</v>
      </c>
      <c r="O200">
        <v>4.43</v>
      </c>
      <c r="P200">
        <v>4.0999999999999996</v>
      </c>
      <c r="Q200" t="s">
        <v>405</v>
      </c>
      <c r="R200">
        <v>4.92</v>
      </c>
    </row>
    <row r="201" spans="1:18" x14ac:dyDescent="0.3">
      <c r="A201" s="1">
        <v>46142</v>
      </c>
      <c r="B201" t="s">
        <v>29</v>
      </c>
      <c r="C201">
        <v>173.0471919</v>
      </c>
      <c r="D201">
        <v>1439807645.1400001</v>
      </c>
      <c r="E201">
        <v>2039</v>
      </c>
      <c r="I201">
        <v>2.97</v>
      </c>
      <c r="J201">
        <v>3.14</v>
      </c>
      <c r="K201">
        <v>3.16</v>
      </c>
      <c r="L201">
        <v>2.84</v>
      </c>
      <c r="M201">
        <v>2.71</v>
      </c>
      <c r="N201">
        <v>3.92</v>
      </c>
      <c r="O201">
        <v>4.08</v>
      </c>
      <c r="P201">
        <v>4.34</v>
      </c>
      <c r="Q201">
        <v>4.4800000000000004</v>
      </c>
      <c r="R201">
        <v>4.4000000000000004</v>
      </c>
    </row>
    <row r="202" spans="1:18" x14ac:dyDescent="0.3">
      <c r="A202" s="1">
        <v>46142</v>
      </c>
      <c r="B202" t="s">
        <v>32</v>
      </c>
      <c r="C202">
        <v>406.12916368999998</v>
      </c>
      <c r="D202">
        <v>471196456.31</v>
      </c>
      <c r="E202">
        <v>8591</v>
      </c>
      <c r="I202" t="s">
        <v>405</v>
      </c>
      <c r="J202">
        <v>3.73</v>
      </c>
      <c r="K202">
        <v>4.1500000000000004</v>
      </c>
      <c r="L202">
        <v>4.1100000000000003</v>
      </c>
      <c r="M202">
        <v>4.5999999999999996</v>
      </c>
      <c r="N202">
        <v>2.96</v>
      </c>
      <c r="O202">
        <v>3.47</v>
      </c>
      <c r="P202" t="s">
        <v>405</v>
      </c>
      <c r="Q202">
        <v>3.52</v>
      </c>
      <c r="R202">
        <v>3.85</v>
      </c>
    </row>
    <row r="203" spans="1:18" x14ac:dyDescent="0.3">
      <c r="A203" s="1">
        <v>46142</v>
      </c>
      <c r="B203" t="s">
        <v>33</v>
      </c>
      <c r="C203">
        <v>223.68921</v>
      </c>
      <c r="D203">
        <v>808650918.29999995</v>
      </c>
      <c r="E203">
        <v>7994</v>
      </c>
      <c r="I203">
        <v>2.94</v>
      </c>
      <c r="J203">
        <v>3.93</v>
      </c>
      <c r="K203">
        <v>4.2300000000000004</v>
      </c>
      <c r="L203">
        <v>4.37</v>
      </c>
      <c r="M203">
        <v>3.96</v>
      </c>
      <c r="N203">
        <v>4.07</v>
      </c>
      <c r="O203">
        <v>4.2</v>
      </c>
      <c r="P203">
        <v>4.22</v>
      </c>
      <c r="Q203">
        <v>3.88</v>
      </c>
      <c r="R203">
        <v>3.37</v>
      </c>
    </row>
    <row r="204" spans="1:18" x14ac:dyDescent="0.3">
      <c r="A204" s="1">
        <v>46142</v>
      </c>
      <c r="B204" t="s">
        <v>34</v>
      </c>
      <c r="C204">
        <v>233.01339999999999</v>
      </c>
      <c r="D204">
        <v>107904311.04000001</v>
      </c>
      <c r="E204">
        <v>4544</v>
      </c>
      <c r="I204">
        <v>1.58</v>
      </c>
      <c r="J204">
        <v>2.99</v>
      </c>
      <c r="K204">
        <v>3.1</v>
      </c>
      <c r="L204">
        <v>3.44</v>
      </c>
      <c r="M204">
        <v>4.0599999999999996</v>
      </c>
      <c r="N204">
        <v>3.73</v>
      </c>
      <c r="O204">
        <v>3.9</v>
      </c>
      <c r="P204">
        <v>4.0999999999999996</v>
      </c>
      <c r="Q204">
        <v>3</v>
      </c>
      <c r="R204">
        <v>4.54</v>
      </c>
    </row>
    <row r="205" spans="1:18" x14ac:dyDescent="0.3">
      <c r="A205" s="1">
        <v>46142</v>
      </c>
      <c r="B205" t="s">
        <v>35</v>
      </c>
      <c r="C205">
        <v>240.5918016</v>
      </c>
      <c r="D205">
        <v>127936675.83</v>
      </c>
      <c r="E205">
        <v>910</v>
      </c>
      <c r="I205" t="s">
        <v>405</v>
      </c>
      <c r="J205" t="s">
        <v>405</v>
      </c>
      <c r="K205" t="s">
        <v>405</v>
      </c>
      <c r="L205" t="s">
        <v>405</v>
      </c>
      <c r="M205" t="s">
        <v>405</v>
      </c>
      <c r="N205">
        <v>2.92</v>
      </c>
      <c r="O205">
        <v>2.83</v>
      </c>
      <c r="P205" t="s">
        <v>405</v>
      </c>
      <c r="Q205" t="s">
        <v>405</v>
      </c>
      <c r="R205" t="s">
        <v>405</v>
      </c>
    </row>
    <row r="206" spans="1:18" x14ac:dyDescent="0.3">
      <c r="A206" s="1">
        <v>46142</v>
      </c>
      <c r="B206" t="s">
        <v>40</v>
      </c>
      <c r="C206">
        <v>109.30136435999999</v>
      </c>
      <c r="D206">
        <v>194009921.74000001</v>
      </c>
      <c r="E206">
        <v>446</v>
      </c>
      <c r="I206" t="s">
        <v>405</v>
      </c>
      <c r="J206">
        <v>3.88</v>
      </c>
      <c r="K206">
        <v>3.79</v>
      </c>
      <c r="L206">
        <v>3.88</v>
      </c>
      <c r="M206">
        <v>4.34</v>
      </c>
      <c r="N206">
        <v>3.85</v>
      </c>
      <c r="O206">
        <v>4.13</v>
      </c>
      <c r="P206">
        <v>4.34</v>
      </c>
      <c r="Q206">
        <v>4.5</v>
      </c>
      <c r="R206">
        <v>4.4800000000000004</v>
      </c>
    </row>
    <row r="207" spans="1:18" x14ac:dyDescent="0.3">
      <c r="A207" s="1">
        <v>46173</v>
      </c>
      <c r="B207" t="s">
        <v>22</v>
      </c>
      <c r="C207">
        <v>173.16881229000001</v>
      </c>
      <c r="D207">
        <v>2772031059.21</v>
      </c>
      <c r="E207">
        <v>76924</v>
      </c>
      <c r="I207">
        <v>2.12</v>
      </c>
      <c r="J207">
        <v>2.68</v>
      </c>
      <c r="K207">
        <v>2.67</v>
      </c>
      <c r="L207">
        <v>3.15</v>
      </c>
      <c r="M207">
        <v>4.87</v>
      </c>
      <c r="N207">
        <v>4.05</v>
      </c>
      <c r="O207">
        <v>4.24</v>
      </c>
      <c r="P207">
        <v>4.1399999999999997</v>
      </c>
      <c r="Q207">
        <v>4.12</v>
      </c>
      <c r="R207">
        <v>4.63</v>
      </c>
    </row>
    <row r="208" spans="1:18" x14ac:dyDescent="0.3">
      <c r="A208" s="1">
        <v>46173</v>
      </c>
      <c r="B208" t="s">
        <v>23</v>
      </c>
      <c r="C208">
        <v>211.85907018</v>
      </c>
      <c r="D208">
        <v>893652789.94000006</v>
      </c>
      <c r="E208">
        <v>7233</v>
      </c>
      <c r="I208" t="s">
        <v>405</v>
      </c>
      <c r="J208">
        <v>4.6399999999999997</v>
      </c>
      <c r="K208">
        <v>5.07</v>
      </c>
      <c r="L208">
        <v>4.6900000000000004</v>
      </c>
      <c r="M208">
        <v>4.18</v>
      </c>
      <c r="N208">
        <v>3.99</v>
      </c>
      <c r="O208">
        <v>4.13</v>
      </c>
      <c r="P208">
        <v>4.43</v>
      </c>
      <c r="Q208">
        <v>4.47</v>
      </c>
      <c r="R208">
        <v>4.01</v>
      </c>
    </row>
    <row r="209" spans="1:18" x14ac:dyDescent="0.3">
      <c r="A209" s="1">
        <v>46173</v>
      </c>
      <c r="B209" t="s">
        <v>24</v>
      </c>
      <c r="C209">
        <v>133.89353187</v>
      </c>
      <c r="D209">
        <v>280697176.42000002</v>
      </c>
      <c r="E209">
        <v>546</v>
      </c>
      <c r="I209">
        <v>0.1</v>
      </c>
      <c r="J209">
        <v>0.87</v>
      </c>
      <c r="K209">
        <v>3.04</v>
      </c>
      <c r="L209">
        <v>3.43</v>
      </c>
      <c r="M209">
        <v>3.61</v>
      </c>
      <c r="N209">
        <v>4.1500000000000004</v>
      </c>
      <c r="O209">
        <v>4.4800000000000004</v>
      </c>
      <c r="P209" t="s">
        <v>405</v>
      </c>
      <c r="Q209">
        <v>4.33</v>
      </c>
      <c r="R209">
        <v>4.33</v>
      </c>
    </row>
    <row r="210" spans="1:18" x14ac:dyDescent="0.3">
      <c r="A210" s="1">
        <v>46173</v>
      </c>
      <c r="B210" t="s">
        <v>25</v>
      </c>
      <c r="C210">
        <v>164.404876</v>
      </c>
      <c r="D210">
        <v>1295591395.8900001</v>
      </c>
      <c r="E210">
        <v>13608</v>
      </c>
      <c r="I210">
        <v>4.07</v>
      </c>
      <c r="J210">
        <v>4.47</v>
      </c>
      <c r="K210">
        <v>4.3099999999999996</v>
      </c>
      <c r="L210">
        <v>4.4000000000000004</v>
      </c>
      <c r="M210" t="s">
        <v>405</v>
      </c>
      <c r="N210">
        <v>3.87</v>
      </c>
      <c r="O210">
        <v>4.22</v>
      </c>
      <c r="P210">
        <v>4.33</v>
      </c>
      <c r="Q210">
        <v>4.62</v>
      </c>
      <c r="R210">
        <v>4.4800000000000004</v>
      </c>
    </row>
    <row r="211" spans="1:18" x14ac:dyDescent="0.3">
      <c r="A211" s="1">
        <v>46173</v>
      </c>
      <c r="B211" t="s">
        <v>26</v>
      </c>
      <c r="C211">
        <v>356.45455700000002</v>
      </c>
      <c r="D211">
        <v>3111790686.29</v>
      </c>
      <c r="E211">
        <v>43571</v>
      </c>
      <c r="I211" t="s">
        <v>405</v>
      </c>
      <c r="J211" t="s">
        <v>405</v>
      </c>
      <c r="K211">
        <v>3.08</v>
      </c>
      <c r="L211">
        <v>4</v>
      </c>
      <c r="M211">
        <v>3.98</v>
      </c>
      <c r="N211" t="s">
        <v>405</v>
      </c>
      <c r="O211" t="s">
        <v>405</v>
      </c>
      <c r="P211" t="s">
        <v>405</v>
      </c>
      <c r="Q211" t="s">
        <v>405</v>
      </c>
      <c r="R211" t="s">
        <v>405</v>
      </c>
    </row>
    <row r="212" spans="1:18" x14ac:dyDescent="0.3">
      <c r="A212" s="1">
        <v>46173</v>
      </c>
      <c r="B212" t="s">
        <v>27</v>
      </c>
      <c r="C212">
        <v>12.0347916</v>
      </c>
      <c r="D212">
        <v>1218790462.6600001</v>
      </c>
      <c r="E212">
        <v>16642</v>
      </c>
      <c r="I212">
        <v>2.31</v>
      </c>
      <c r="J212">
        <v>2.85</v>
      </c>
      <c r="K212">
        <v>2.16</v>
      </c>
      <c r="L212">
        <v>3.97</v>
      </c>
      <c r="M212">
        <v>4.5999999999999996</v>
      </c>
      <c r="N212" t="s">
        <v>405</v>
      </c>
      <c r="O212" t="s">
        <v>405</v>
      </c>
      <c r="P212" t="s">
        <v>405</v>
      </c>
      <c r="Q212" t="s">
        <v>405</v>
      </c>
      <c r="R212">
        <v>5.18</v>
      </c>
    </row>
    <row r="213" spans="1:18" x14ac:dyDescent="0.3">
      <c r="A213" s="1">
        <v>46173</v>
      </c>
      <c r="B213" t="s">
        <v>28</v>
      </c>
      <c r="C213">
        <v>201.6821104</v>
      </c>
      <c r="D213">
        <v>271193571.19999999</v>
      </c>
      <c r="E213">
        <v>917</v>
      </c>
      <c r="I213" t="s">
        <v>405</v>
      </c>
      <c r="J213" t="s">
        <v>405</v>
      </c>
      <c r="K213" t="s">
        <v>405</v>
      </c>
      <c r="L213" t="s">
        <v>405</v>
      </c>
      <c r="M213" t="s">
        <v>405</v>
      </c>
      <c r="N213">
        <v>4.03</v>
      </c>
      <c r="O213">
        <v>4.34</v>
      </c>
      <c r="P213">
        <v>4.4000000000000004</v>
      </c>
      <c r="Q213" t="s">
        <v>405</v>
      </c>
      <c r="R213" t="s">
        <v>405</v>
      </c>
    </row>
    <row r="214" spans="1:18" x14ac:dyDescent="0.3">
      <c r="A214" s="1">
        <v>46173</v>
      </c>
      <c r="B214" t="s">
        <v>29</v>
      </c>
      <c r="C214">
        <v>173.6554299</v>
      </c>
      <c r="D214">
        <v>1483540707.6099999</v>
      </c>
      <c r="E214">
        <v>2017</v>
      </c>
      <c r="I214" t="s">
        <v>405</v>
      </c>
      <c r="J214" t="s">
        <v>405</v>
      </c>
      <c r="K214" t="s">
        <v>405</v>
      </c>
      <c r="L214" t="s">
        <v>405</v>
      </c>
      <c r="M214" t="s">
        <v>405</v>
      </c>
      <c r="N214">
        <v>3.6</v>
      </c>
      <c r="O214">
        <v>4.2</v>
      </c>
      <c r="P214">
        <v>4.3</v>
      </c>
      <c r="Q214" t="s">
        <v>405</v>
      </c>
      <c r="R214" t="s">
        <v>405</v>
      </c>
    </row>
    <row r="215" spans="1:18" x14ac:dyDescent="0.3">
      <c r="A215" s="1">
        <v>46173</v>
      </c>
      <c r="B215" t="s">
        <v>32</v>
      </c>
      <c r="C215">
        <v>407.73720405</v>
      </c>
      <c r="D215">
        <v>460394151.76999998</v>
      </c>
      <c r="E215">
        <v>8504</v>
      </c>
      <c r="I215" t="s">
        <v>405</v>
      </c>
      <c r="J215" t="s">
        <v>405</v>
      </c>
      <c r="K215" t="s">
        <v>405</v>
      </c>
      <c r="L215" t="s">
        <v>405</v>
      </c>
      <c r="M215" t="s">
        <v>405</v>
      </c>
      <c r="N215">
        <v>3.94</v>
      </c>
      <c r="O215">
        <v>4.4400000000000004</v>
      </c>
      <c r="P215">
        <v>4.4400000000000004</v>
      </c>
      <c r="Q215">
        <v>4.78</v>
      </c>
      <c r="R215">
        <v>4.92</v>
      </c>
    </row>
    <row r="216" spans="1:18" x14ac:dyDescent="0.3">
      <c r="A216" s="1">
        <v>46173</v>
      </c>
      <c r="B216" t="s">
        <v>33</v>
      </c>
      <c r="C216">
        <v>225.18913699999999</v>
      </c>
      <c r="D216">
        <v>821868199</v>
      </c>
      <c r="E216">
        <v>8009</v>
      </c>
      <c r="I216">
        <v>0.5</v>
      </c>
      <c r="J216">
        <v>0.68</v>
      </c>
      <c r="K216">
        <v>4.8899999999999997</v>
      </c>
      <c r="L216">
        <v>4.67</v>
      </c>
      <c r="M216">
        <v>4.66</v>
      </c>
      <c r="N216">
        <v>2.2599999999999998</v>
      </c>
      <c r="O216">
        <v>4.1399999999999997</v>
      </c>
      <c r="P216">
        <v>0.5</v>
      </c>
      <c r="Q216">
        <v>3.99</v>
      </c>
      <c r="R216">
        <v>4.6100000000000003</v>
      </c>
    </row>
    <row r="217" spans="1:18" x14ac:dyDescent="0.3">
      <c r="A217" s="1">
        <v>46173</v>
      </c>
      <c r="B217" t="s">
        <v>34</v>
      </c>
      <c r="C217">
        <v>233.82660000000001</v>
      </c>
      <c r="D217">
        <v>106268092.8</v>
      </c>
      <c r="E217">
        <v>4494</v>
      </c>
      <c r="I217">
        <v>0.8</v>
      </c>
      <c r="J217">
        <v>3.45</v>
      </c>
      <c r="K217">
        <v>3.65</v>
      </c>
      <c r="L217">
        <v>3.74</v>
      </c>
      <c r="M217">
        <v>3.26</v>
      </c>
      <c r="N217">
        <v>4.3</v>
      </c>
      <c r="O217">
        <v>4.43</v>
      </c>
      <c r="P217">
        <v>4.46</v>
      </c>
      <c r="Q217">
        <v>4.63</v>
      </c>
      <c r="R217">
        <v>2.8</v>
      </c>
    </row>
    <row r="218" spans="1:18" x14ac:dyDescent="0.3">
      <c r="A218" s="1">
        <v>46173</v>
      </c>
      <c r="B218" t="s">
        <v>35</v>
      </c>
      <c r="C218">
        <v>241.93932409999999</v>
      </c>
      <c r="D218">
        <v>126604346.67</v>
      </c>
      <c r="E218">
        <v>900</v>
      </c>
      <c r="I218" t="s">
        <v>405</v>
      </c>
      <c r="J218">
        <v>4.5</v>
      </c>
      <c r="K218">
        <v>4.76</v>
      </c>
      <c r="L218">
        <v>5.07</v>
      </c>
      <c r="M218">
        <v>5.58</v>
      </c>
      <c r="N218" t="s">
        <v>405</v>
      </c>
      <c r="O218" t="s">
        <v>405</v>
      </c>
      <c r="P218" t="s">
        <v>405</v>
      </c>
      <c r="Q218" t="s">
        <v>405</v>
      </c>
      <c r="R218">
        <v>3.75</v>
      </c>
    </row>
    <row r="219" spans="1:18" x14ac:dyDescent="0.3">
      <c r="A219" s="1">
        <v>46173</v>
      </c>
      <c r="B219" t="s">
        <v>40</v>
      </c>
      <c r="C219">
        <v>110.21059455</v>
      </c>
      <c r="D219">
        <v>198103543.71000001</v>
      </c>
      <c r="E219">
        <v>449</v>
      </c>
      <c r="I219">
        <v>3.45</v>
      </c>
      <c r="J219">
        <v>3.53</v>
      </c>
      <c r="K219">
        <v>3.32</v>
      </c>
      <c r="L219">
        <v>3.63</v>
      </c>
      <c r="M219">
        <v>3.92</v>
      </c>
      <c r="N219">
        <v>3.88</v>
      </c>
      <c r="O219">
        <v>4.12</v>
      </c>
      <c r="P219">
        <v>4.2699999999999996</v>
      </c>
      <c r="Q219">
        <v>4.18</v>
      </c>
      <c r="R219">
        <v>4.5199999999999996</v>
      </c>
    </row>
    <row r="220" spans="1:18" x14ac:dyDescent="0.3">
      <c r="A220" s="1">
        <v>46203</v>
      </c>
      <c r="B220" t="s">
        <v>22</v>
      </c>
      <c r="C220">
        <v>173.72934685999999</v>
      </c>
      <c r="D220">
        <v>2755029376.04</v>
      </c>
      <c r="E220">
        <v>76508</v>
      </c>
    </row>
    <row r="221" spans="1:18" x14ac:dyDescent="0.3">
      <c r="A221" s="1">
        <v>46203</v>
      </c>
      <c r="B221" t="s">
        <v>23</v>
      </c>
      <c r="C221">
        <v>212.78308894</v>
      </c>
      <c r="D221">
        <v>913729885.00999999</v>
      </c>
      <c r="E221">
        <v>7226</v>
      </c>
    </row>
    <row r="222" spans="1:18" x14ac:dyDescent="0.3">
      <c r="A222" s="1">
        <v>46203</v>
      </c>
      <c r="B222" t="s">
        <v>24</v>
      </c>
      <c r="C222">
        <v>134.35108005000001</v>
      </c>
      <c r="D222">
        <v>294070137.10000002</v>
      </c>
      <c r="E222">
        <v>559</v>
      </c>
    </row>
    <row r="223" spans="1:18" x14ac:dyDescent="0.3">
      <c r="A223" s="1">
        <v>46203</v>
      </c>
      <c r="B223" t="s">
        <v>25</v>
      </c>
      <c r="C223">
        <v>165.161753</v>
      </c>
      <c r="D223">
        <v>1273986251.6199999</v>
      </c>
      <c r="E223">
        <v>13634</v>
      </c>
    </row>
    <row r="224" spans="1:18" x14ac:dyDescent="0.3">
      <c r="A224" s="1">
        <v>46203</v>
      </c>
      <c r="B224" t="s">
        <v>26</v>
      </c>
      <c r="C224">
        <v>357.63221700000003</v>
      </c>
      <c r="D224">
        <v>3155428348.3099999</v>
      </c>
      <c r="E224">
        <v>44078</v>
      </c>
    </row>
    <row r="225" spans="1:5" x14ac:dyDescent="0.3">
      <c r="A225" s="1">
        <v>46203</v>
      </c>
      <c r="B225" t="s">
        <v>27</v>
      </c>
      <c r="C225">
        <v>12.079791739999999</v>
      </c>
      <c r="D225">
        <v>1239412685.3499999</v>
      </c>
      <c r="E225">
        <v>16616</v>
      </c>
    </row>
    <row r="226" spans="1:5" x14ac:dyDescent="0.3">
      <c r="A226" s="1">
        <v>46203</v>
      </c>
      <c r="B226" t="s">
        <v>28</v>
      </c>
      <c r="C226">
        <v>202.4793817</v>
      </c>
      <c r="D226">
        <v>268981492.00999999</v>
      </c>
      <c r="E226">
        <v>909</v>
      </c>
    </row>
    <row r="227" spans="1:5" x14ac:dyDescent="0.3">
      <c r="A227" s="1">
        <v>46203</v>
      </c>
      <c r="B227" t="s">
        <v>29</v>
      </c>
      <c r="C227">
        <v>174.30474280000001</v>
      </c>
      <c r="D227">
        <v>1415523875.99</v>
      </c>
      <c r="E227">
        <v>2017</v>
      </c>
    </row>
    <row r="228" spans="1:5" x14ac:dyDescent="0.3">
      <c r="A228" s="1">
        <v>46203</v>
      </c>
      <c r="B228" t="s">
        <v>32</v>
      </c>
      <c r="C228">
        <v>410.65932354</v>
      </c>
      <c r="D228">
        <v>461143127.45999998</v>
      </c>
      <c r="E228">
        <v>8438</v>
      </c>
    </row>
    <row r="229" spans="1:5" x14ac:dyDescent="0.3">
      <c r="A229" s="1">
        <v>46203</v>
      </c>
      <c r="B229" t="s">
        <v>33</v>
      </c>
      <c r="C229">
        <v>227.20659000000001</v>
      </c>
      <c r="D229">
        <v>841428969.15999997</v>
      </c>
      <c r="E229">
        <v>8102</v>
      </c>
    </row>
    <row r="230" spans="1:5" x14ac:dyDescent="0.3">
      <c r="A230" s="1">
        <v>46203</v>
      </c>
      <c r="B230" t="s">
        <v>34</v>
      </c>
      <c r="C230">
        <v>235.39359999999999</v>
      </c>
      <c r="D230">
        <v>104979969.55</v>
      </c>
      <c r="E230">
        <v>4508</v>
      </c>
    </row>
    <row r="231" spans="1:5" x14ac:dyDescent="0.3">
      <c r="A231" s="1">
        <v>46203</v>
      </c>
      <c r="B231" t="s">
        <v>35</v>
      </c>
      <c r="C231">
        <v>243.78792050000001</v>
      </c>
      <c r="D231">
        <v>127233613.86</v>
      </c>
      <c r="E231">
        <v>888</v>
      </c>
    </row>
    <row r="232" spans="1:5" x14ac:dyDescent="0.3">
      <c r="A232" s="1">
        <v>46203</v>
      </c>
      <c r="B232" t="s">
        <v>40</v>
      </c>
      <c r="C232">
        <v>112.56613378999999</v>
      </c>
      <c r="D232">
        <v>202337625.49000001</v>
      </c>
      <c r="E232">
        <v>449</v>
      </c>
    </row>
    <row r="233" spans="1:5" x14ac:dyDescent="0.3">
      <c r="A233" s="1">
        <v>46234</v>
      </c>
      <c r="B233" t="s">
        <v>22</v>
      </c>
      <c r="C233">
        <v>174.31846501999999</v>
      </c>
      <c r="D233">
        <v>2714460737.9899998</v>
      </c>
      <c r="E233">
        <v>76158</v>
      </c>
    </row>
    <row r="234" spans="1:5" x14ac:dyDescent="0.3">
      <c r="A234" s="1">
        <v>46234</v>
      </c>
      <c r="B234" t="s">
        <v>23</v>
      </c>
      <c r="C234">
        <v>213.58180999000001</v>
      </c>
      <c r="D234">
        <v>927883838.01999998</v>
      </c>
      <c r="E234">
        <v>7251</v>
      </c>
    </row>
    <row r="235" spans="1:5" x14ac:dyDescent="0.3">
      <c r="A235" s="1">
        <v>46234</v>
      </c>
      <c r="B235" t="s">
        <v>24</v>
      </c>
      <c r="C235">
        <v>134.82905649</v>
      </c>
      <c r="D235">
        <v>309635566.69</v>
      </c>
      <c r="E235">
        <v>564</v>
      </c>
    </row>
    <row r="236" spans="1:5" x14ac:dyDescent="0.3">
      <c r="A236" s="1">
        <v>46234</v>
      </c>
      <c r="B236" t="s">
        <v>25</v>
      </c>
      <c r="C236">
        <v>165.67208099999999</v>
      </c>
      <c r="D236">
        <v>1300155400.52</v>
      </c>
      <c r="E236">
        <v>13863</v>
      </c>
    </row>
    <row r="237" spans="1:5" x14ac:dyDescent="0.3">
      <c r="A237" s="1">
        <v>46234</v>
      </c>
      <c r="B237" t="s">
        <v>26</v>
      </c>
      <c r="C237">
        <v>358.82808499999999</v>
      </c>
      <c r="D237">
        <v>3281456302.8499999</v>
      </c>
      <c r="E237">
        <v>44950</v>
      </c>
    </row>
    <row r="238" spans="1:5" x14ac:dyDescent="0.3">
      <c r="A238" s="1">
        <v>46234</v>
      </c>
      <c r="B238" t="s">
        <v>27</v>
      </c>
      <c r="C238">
        <v>12.122606530000001</v>
      </c>
      <c r="D238">
        <v>1234798460.1099999</v>
      </c>
      <c r="E238">
        <v>16736</v>
      </c>
    </row>
    <row r="239" spans="1:5" x14ac:dyDescent="0.3">
      <c r="A239" s="1">
        <v>46234</v>
      </c>
      <c r="B239" t="s">
        <v>28</v>
      </c>
      <c r="C239">
        <v>203.14380349999999</v>
      </c>
      <c r="D239">
        <v>194957198.62</v>
      </c>
      <c r="E239">
        <v>909</v>
      </c>
    </row>
    <row r="240" spans="1:5" x14ac:dyDescent="0.3">
      <c r="A240" s="1">
        <v>46234</v>
      </c>
      <c r="B240" t="s">
        <v>29</v>
      </c>
      <c r="C240">
        <v>174.92875620000001</v>
      </c>
      <c r="D240">
        <v>1240583547.5899999</v>
      </c>
      <c r="E240">
        <v>1987</v>
      </c>
    </row>
    <row r="241" spans="1:5" x14ac:dyDescent="0.3">
      <c r="A241" s="1">
        <v>46234</v>
      </c>
      <c r="B241" t="s">
        <v>32</v>
      </c>
      <c r="C241">
        <v>411.87582773999998</v>
      </c>
      <c r="D241">
        <v>472879276.06</v>
      </c>
      <c r="E241">
        <v>8522</v>
      </c>
    </row>
    <row r="242" spans="1:5" x14ac:dyDescent="0.3">
      <c r="A242" s="1">
        <v>46234</v>
      </c>
      <c r="B242" t="s">
        <v>33</v>
      </c>
      <c r="C242">
        <v>228.37178800000001</v>
      </c>
      <c r="D242">
        <v>859777580.77999997</v>
      </c>
      <c r="E242">
        <v>8250</v>
      </c>
    </row>
    <row r="243" spans="1:5" x14ac:dyDescent="0.3">
      <c r="A243" s="1">
        <v>46234</v>
      </c>
      <c r="B243" t="s">
        <v>34</v>
      </c>
      <c r="C243">
        <v>235.62559999999999</v>
      </c>
      <c r="D243">
        <v>105017921.93000001</v>
      </c>
      <c r="E243">
        <v>4553</v>
      </c>
    </row>
    <row r="244" spans="1:5" x14ac:dyDescent="0.3">
      <c r="A244" s="1">
        <v>46234</v>
      </c>
      <c r="B244" t="s">
        <v>35</v>
      </c>
      <c r="C244">
        <v>244.45138560000001</v>
      </c>
      <c r="D244">
        <v>129245461.34999999</v>
      </c>
      <c r="E244">
        <v>882</v>
      </c>
    </row>
    <row r="245" spans="1:5" x14ac:dyDescent="0.3">
      <c r="A245" s="1">
        <v>46234</v>
      </c>
      <c r="B245" t="s">
        <v>40</v>
      </c>
      <c r="C245">
        <v>113.10807698000001</v>
      </c>
      <c r="D245">
        <v>152695903.91999999</v>
      </c>
      <c r="E245">
        <v>449</v>
      </c>
    </row>
    <row r="246" spans="1:5" x14ac:dyDescent="0.3">
      <c r="A246" s="1">
        <v>46265</v>
      </c>
      <c r="B246" t="s">
        <v>22</v>
      </c>
      <c r="C246">
        <v>174.92760867999999</v>
      </c>
      <c r="D246">
        <v>2696336296.1199999</v>
      </c>
      <c r="E246">
        <v>75749</v>
      </c>
    </row>
    <row r="247" spans="1:5" x14ac:dyDescent="0.3">
      <c r="A247" s="1">
        <v>46265</v>
      </c>
      <c r="B247" t="s">
        <v>23</v>
      </c>
      <c r="C247">
        <v>214.56994126000001</v>
      </c>
      <c r="D247">
        <v>926049973</v>
      </c>
      <c r="E247">
        <v>7226</v>
      </c>
    </row>
    <row r="248" spans="1:5" x14ac:dyDescent="0.3">
      <c r="A248" s="1">
        <v>46265</v>
      </c>
      <c r="B248" t="s">
        <v>24</v>
      </c>
      <c r="C248">
        <v>135.32540791</v>
      </c>
      <c r="D248">
        <v>326176641.60000002</v>
      </c>
      <c r="E248">
        <v>566</v>
      </c>
    </row>
    <row r="249" spans="1:5" x14ac:dyDescent="0.3">
      <c r="A249" s="1">
        <v>46265</v>
      </c>
      <c r="B249" t="s">
        <v>25</v>
      </c>
      <c r="C249">
        <v>166.32631599999999</v>
      </c>
      <c r="D249">
        <v>1330545100.6300001</v>
      </c>
      <c r="E249">
        <v>13990</v>
      </c>
    </row>
    <row r="250" spans="1:5" x14ac:dyDescent="0.3">
      <c r="A250" s="1">
        <v>46265</v>
      </c>
      <c r="B250" t="s">
        <v>26</v>
      </c>
      <c r="C250">
        <v>360.02621199999999</v>
      </c>
      <c r="D250">
        <v>3386119097.6900001</v>
      </c>
      <c r="E250">
        <v>45517</v>
      </c>
    </row>
    <row r="251" spans="1:5" x14ac:dyDescent="0.3">
      <c r="A251" s="1">
        <v>46265</v>
      </c>
      <c r="B251" t="s">
        <v>27</v>
      </c>
      <c r="C251">
        <v>12.165339700000001</v>
      </c>
      <c r="D251">
        <v>1247745597.73</v>
      </c>
      <c r="E251">
        <v>16809</v>
      </c>
    </row>
    <row r="252" spans="1:5" x14ac:dyDescent="0.3">
      <c r="A252" s="1">
        <v>46265</v>
      </c>
      <c r="B252" t="s">
        <v>28</v>
      </c>
      <c r="C252">
        <v>203.8672832</v>
      </c>
      <c r="D252">
        <v>184350138.22</v>
      </c>
      <c r="E252">
        <v>890</v>
      </c>
    </row>
    <row r="253" spans="1:5" x14ac:dyDescent="0.3">
      <c r="A253" s="1">
        <v>46265</v>
      </c>
      <c r="B253" t="s">
        <v>29</v>
      </c>
      <c r="C253">
        <v>175.55553359999999</v>
      </c>
      <c r="D253">
        <v>1372214285.01</v>
      </c>
      <c r="E253">
        <v>1957</v>
      </c>
    </row>
    <row r="254" spans="1:5" x14ac:dyDescent="0.3">
      <c r="A254" s="1">
        <v>46265</v>
      </c>
      <c r="B254" t="s">
        <v>32</v>
      </c>
      <c r="C254">
        <v>413.52704188000001</v>
      </c>
      <c r="D254">
        <v>476906604.38999999</v>
      </c>
      <c r="E254">
        <v>8499</v>
      </c>
    </row>
    <row r="255" spans="1:5" x14ac:dyDescent="0.3">
      <c r="A255" s="1">
        <v>46265</v>
      </c>
      <c r="B255" t="s">
        <v>33</v>
      </c>
      <c r="C255">
        <v>228.46783600000001</v>
      </c>
      <c r="D255">
        <v>846675540.86000001</v>
      </c>
      <c r="E255">
        <v>8334</v>
      </c>
    </row>
    <row r="256" spans="1:5" x14ac:dyDescent="0.3">
      <c r="A256" s="1">
        <v>46265</v>
      </c>
      <c r="B256" t="s">
        <v>34</v>
      </c>
      <c r="C256">
        <v>235.76259999999999</v>
      </c>
      <c r="D256">
        <v>99791086.439999998</v>
      </c>
      <c r="E256">
        <v>4511</v>
      </c>
    </row>
    <row r="257" spans="1:7" x14ac:dyDescent="0.3">
      <c r="A257" s="1">
        <v>46265</v>
      </c>
      <c r="B257" t="s">
        <v>35</v>
      </c>
      <c r="C257">
        <v>244.73786240000001</v>
      </c>
      <c r="D257">
        <v>128349607.03</v>
      </c>
      <c r="E257">
        <v>859</v>
      </c>
    </row>
    <row r="258" spans="1:7" x14ac:dyDescent="0.3">
      <c r="A258" s="1">
        <v>46265</v>
      </c>
      <c r="B258" t="s">
        <v>40</v>
      </c>
      <c r="C258">
        <v>112.50574435</v>
      </c>
      <c r="D258">
        <v>152164019.24000001</v>
      </c>
      <c r="E258">
        <v>518</v>
      </c>
    </row>
    <row r="259" spans="1:7" x14ac:dyDescent="0.3">
      <c r="A259" s="1">
        <v>46295</v>
      </c>
      <c r="B259" t="s">
        <v>22</v>
      </c>
      <c r="C259">
        <v>175.50838275999999</v>
      </c>
      <c r="D259">
        <v>2705529159.8099999</v>
      </c>
      <c r="E259">
        <v>75292</v>
      </c>
    </row>
    <row r="260" spans="1:7" x14ac:dyDescent="0.3">
      <c r="A260" s="1">
        <v>46295</v>
      </c>
      <c r="B260" t="s">
        <v>23</v>
      </c>
      <c r="C260">
        <v>214.47442111000001</v>
      </c>
      <c r="D260">
        <v>917635044.80999994</v>
      </c>
      <c r="E260">
        <v>7147</v>
      </c>
    </row>
    <row r="261" spans="1:7" x14ac:dyDescent="0.3">
      <c r="A261" s="1">
        <v>46295</v>
      </c>
      <c r="B261" t="s">
        <v>24</v>
      </c>
      <c r="C261">
        <v>135.79414928</v>
      </c>
      <c r="D261">
        <v>359423998.38</v>
      </c>
      <c r="E261">
        <v>597</v>
      </c>
    </row>
    <row r="262" spans="1:7" x14ac:dyDescent="0.3">
      <c r="A262" s="1">
        <v>46295</v>
      </c>
      <c r="B262" t="s">
        <v>25</v>
      </c>
      <c r="C262">
        <v>166.12638113</v>
      </c>
      <c r="D262">
        <v>1320047031.1900001</v>
      </c>
      <c r="E262">
        <v>13880</v>
      </c>
    </row>
    <row r="263" spans="1:7" x14ac:dyDescent="0.3">
      <c r="A263" s="1">
        <v>46295</v>
      </c>
      <c r="B263" t="s">
        <v>26</v>
      </c>
      <c r="C263">
        <v>361.10296736999999</v>
      </c>
      <c r="D263">
        <v>3358169486.3899999</v>
      </c>
      <c r="E263">
        <v>45627</v>
      </c>
    </row>
    <row r="264" spans="1:7" x14ac:dyDescent="0.3">
      <c r="A264" s="1">
        <v>46295</v>
      </c>
      <c r="B264" t="s">
        <v>27</v>
      </c>
      <c r="C264">
        <v>12.203462500000001</v>
      </c>
      <c r="D264">
        <v>1253304551.1400001</v>
      </c>
      <c r="E264">
        <v>16925</v>
      </c>
    </row>
    <row r="265" spans="1:7" x14ac:dyDescent="0.3">
      <c r="A265" s="1">
        <v>46295</v>
      </c>
      <c r="B265" t="s">
        <v>28</v>
      </c>
      <c r="C265">
        <v>203.7424178</v>
      </c>
      <c r="D265">
        <v>186504024.28999999</v>
      </c>
      <c r="E265">
        <v>881</v>
      </c>
    </row>
    <row r="266" spans="1:7" x14ac:dyDescent="0.3">
      <c r="A266" s="1">
        <v>46295</v>
      </c>
      <c r="B266" t="s">
        <v>29</v>
      </c>
      <c r="C266">
        <v>176.1565659</v>
      </c>
      <c r="D266">
        <v>1543437489.8199999</v>
      </c>
      <c r="E266">
        <v>1953</v>
      </c>
    </row>
    <row r="267" spans="1:7" x14ac:dyDescent="0.3">
      <c r="A267" s="1">
        <v>46295</v>
      </c>
      <c r="B267" t="s">
        <v>32</v>
      </c>
      <c r="C267">
        <v>409.07142088000001</v>
      </c>
      <c r="D267">
        <v>445717202.87</v>
      </c>
      <c r="E267">
        <v>8243</v>
      </c>
    </row>
    <row r="268" spans="1:7" x14ac:dyDescent="0.3">
      <c r="A268" s="1">
        <v>46295</v>
      </c>
      <c r="B268" t="s">
        <v>33</v>
      </c>
      <c r="C268">
        <v>226.09731866999999</v>
      </c>
      <c r="D268">
        <v>783883688.35000002</v>
      </c>
      <c r="E268">
        <v>8119</v>
      </c>
    </row>
    <row r="269" spans="1:7" x14ac:dyDescent="0.3">
      <c r="A269" s="1">
        <v>46295</v>
      </c>
      <c r="B269" t="s">
        <v>34</v>
      </c>
      <c r="C269">
        <v>233.64169999999999</v>
      </c>
      <c r="D269">
        <v>91765003.560000002</v>
      </c>
      <c r="E269">
        <v>4360</v>
      </c>
    </row>
    <row r="270" spans="1:7" x14ac:dyDescent="0.3">
      <c r="A270" s="1">
        <v>46295</v>
      </c>
      <c r="B270" t="s">
        <v>35</v>
      </c>
      <c r="C270">
        <v>242.900756</v>
      </c>
      <c r="D270">
        <v>120721586.34</v>
      </c>
      <c r="E270">
        <v>838</v>
      </c>
    </row>
    <row r="271" spans="1:7" x14ac:dyDescent="0.3">
      <c r="A271" s="1">
        <v>46295</v>
      </c>
      <c r="B271" t="s">
        <v>40</v>
      </c>
      <c r="C271">
        <v>110.04027514086383</v>
      </c>
      <c r="D271">
        <v>148829472.12801832</v>
      </c>
      <c r="E271">
        <v>547</v>
      </c>
    </row>
    <row r="272" spans="1:7" x14ac:dyDescent="0.3">
      <c r="A272" s="1">
        <v>46304</v>
      </c>
      <c r="B272" t="s">
        <v>22</v>
      </c>
      <c r="C272">
        <v>175.68375476</v>
      </c>
      <c r="D272">
        <v>2705748233.4099998</v>
      </c>
      <c r="E272">
        <v>75164</v>
      </c>
      <c r="G272" s="18"/>
    </row>
    <row r="273" spans="1:7" x14ac:dyDescent="0.3">
      <c r="A273" s="1">
        <v>46304</v>
      </c>
      <c r="B273" t="s">
        <v>23</v>
      </c>
      <c r="C273">
        <v>214.81611819</v>
      </c>
      <c r="D273">
        <v>897019568.54999995</v>
      </c>
      <c r="E273">
        <v>7069</v>
      </c>
      <c r="G273" s="18"/>
    </row>
    <row r="274" spans="1:7" x14ac:dyDescent="0.3">
      <c r="A274" s="1">
        <v>46304</v>
      </c>
      <c r="B274" t="s">
        <v>24</v>
      </c>
      <c r="C274">
        <v>135.93525915000001</v>
      </c>
      <c r="D274">
        <v>385465944.74000001</v>
      </c>
      <c r="E274">
        <v>610</v>
      </c>
      <c r="G274" s="18"/>
    </row>
    <row r="275" spans="1:7" x14ac:dyDescent="0.3">
      <c r="A275" s="1">
        <v>46304</v>
      </c>
      <c r="B275" t="s">
        <v>25</v>
      </c>
      <c r="C275">
        <v>166.41805854</v>
      </c>
      <c r="D275">
        <v>1317793069.1300001</v>
      </c>
      <c r="E275">
        <v>13802</v>
      </c>
      <c r="G275" s="18"/>
    </row>
    <row r="276" spans="1:7" x14ac:dyDescent="0.3">
      <c r="A276" s="1">
        <v>46304</v>
      </c>
      <c r="B276" t="s">
        <v>26</v>
      </c>
      <c r="C276">
        <v>361.46004819000001</v>
      </c>
      <c r="D276">
        <v>3451869354.6100001</v>
      </c>
      <c r="E276">
        <v>45759</v>
      </c>
      <c r="G276" s="18"/>
    </row>
    <row r="277" spans="1:7" x14ac:dyDescent="0.3">
      <c r="A277" s="1">
        <v>46304</v>
      </c>
      <c r="B277" t="s">
        <v>27</v>
      </c>
      <c r="C277">
        <v>12.21523575</v>
      </c>
      <c r="D277">
        <v>1249435239.9400001</v>
      </c>
      <c r="E277">
        <v>16986</v>
      </c>
      <c r="G277" s="18"/>
    </row>
    <row r="278" spans="1:7" x14ac:dyDescent="0.3">
      <c r="A278" s="1">
        <v>46304</v>
      </c>
      <c r="B278" t="s">
        <v>28</v>
      </c>
      <c r="C278">
        <v>204.02861960000001</v>
      </c>
      <c r="D278">
        <v>194753456.19999999</v>
      </c>
      <c r="E278">
        <v>877</v>
      </c>
      <c r="G278" s="18"/>
    </row>
    <row r="279" spans="1:7" x14ac:dyDescent="0.3">
      <c r="A279" s="1">
        <v>46304</v>
      </c>
      <c r="B279" t="s">
        <v>29</v>
      </c>
      <c r="C279">
        <v>176.33114180000001</v>
      </c>
      <c r="D279">
        <v>1666496529.3</v>
      </c>
      <c r="E279">
        <v>1979</v>
      </c>
      <c r="G279" s="18"/>
    </row>
    <row r="280" spans="1:7" x14ac:dyDescent="0.3">
      <c r="A280" s="1">
        <v>46304</v>
      </c>
      <c r="B280" t="s">
        <v>32</v>
      </c>
      <c r="C280">
        <v>410.30980470999998</v>
      </c>
      <c r="D280">
        <v>435373898.41000003</v>
      </c>
      <c r="E280">
        <v>8142</v>
      </c>
      <c r="G280" s="18"/>
    </row>
    <row r="281" spans="1:7" x14ac:dyDescent="0.3">
      <c r="A281" s="1">
        <v>46304</v>
      </c>
      <c r="B281" t="s">
        <v>33</v>
      </c>
      <c r="C281">
        <v>226.63490805999999</v>
      </c>
      <c r="D281">
        <v>768176827.78999996</v>
      </c>
      <c r="E281">
        <v>8043</v>
      </c>
      <c r="G281" s="18"/>
    </row>
    <row r="282" spans="1:7" x14ac:dyDescent="0.3">
      <c r="A282" s="1">
        <v>46304</v>
      </c>
      <c r="B282" t="s">
        <v>34</v>
      </c>
      <c r="C282">
        <v>234.13839999999999</v>
      </c>
      <c r="D282">
        <v>87314060.650000006</v>
      </c>
      <c r="E282">
        <v>4305</v>
      </c>
      <c r="G282" s="18"/>
    </row>
    <row r="283" spans="1:7" x14ac:dyDescent="0.3">
      <c r="A283" s="1">
        <v>46304</v>
      </c>
      <c r="B283" t="s">
        <v>35</v>
      </c>
      <c r="C283">
        <v>243.4637008</v>
      </c>
      <c r="D283">
        <v>118502088.41</v>
      </c>
      <c r="E283">
        <v>835</v>
      </c>
      <c r="G283" s="18"/>
    </row>
    <row r="284" spans="1:7" x14ac:dyDescent="0.3">
      <c r="A284" s="1">
        <v>46304</v>
      </c>
      <c r="B284" t="s">
        <v>40</v>
      </c>
      <c r="C284">
        <v>110.882600109728</v>
      </c>
      <c r="D284">
        <v>149414303.64785901</v>
      </c>
      <c r="E284">
        <v>547</v>
      </c>
    </row>
    <row r="285" spans="1:7" x14ac:dyDescent="0.3">
      <c r="A285" s="1">
        <v>46311</v>
      </c>
      <c r="B285" t="s">
        <v>22</v>
      </c>
      <c r="C285">
        <v>175.83459361000001</v>
      </c>
      <c r="D285">
        <v>2705450184.71</v>
      </c>
      <c r="E285">
        <v>75059</v>
      </c>
    </row>
    <row r="286" spans="1:7" x14ac:dyDescent="0.3">
      <c r="A286" s="1">
        <v>46311</v>
      </c>
      <c r="B286" t="s">
        <v>23</v>
      </c>
      <c r="C286">
        <v>215.18728877999999</v>
      </c>
      <c r="D286">
        <v>901603838.59000003</v>
      </c>
      <c r="E286">
        <v>7051</v>
      </c>
    </row>
    <row r="287" spans="1:7" x14ac:dyDescent="0.3">
      <c r="A287" s="1">
        <v>46311</v>
      </c>
      <c r="B287" t="s">
        <v>24</v>
      </c>
      <c r="C287">
        <v>136.05660689000001</v>
      </c>
      <c r="D287">
        <v>391665509.10000002</v>
      </c>
      <c r="E287">
        <v>614</v>
      </c>
    </row>
    <row r="288" spans="1:7" x14ac:dyDescent="0.3">
      <c r="A288" s="1">
        <v>46311</v>
      </c>
      <c r="B288" t="s">
        <v>25</v>
      </c>
      <c r="C288">
        <v>166.77472852</v>
      </c>
      <c r="D288">
        <v>1312884105.1199999</v>
      </c>
      <c r="E288">
        <v>13772</v>
      </c>
    </row>
    <row r="289" spans="1:5" x14ac:dyDescent="0.3">
      <c r="A289" s="1">
        <v>46311</v>
      </c>
      <c r="B289" t="s">
        <v>26</v>
      </c>
      <c r="C289">
        <v>361.75432577999999</v>
      </c>
      <c r="D289">
        <v>3481232200.6300001</v>
      </c>
      <c r="E289">
        <v>45788</v>
      </c>
    </row>
    <row r="290" spans="1:5" x14ac:dyDescent="0.3">
      <c r="A290" s="1">
        <v>46311</v>
      </c>
      <c r="B290" t="s">
        <v>27</v>
      </c>
      <c r="C290">
        <v>12.22566097</v>
      </c>
      <c r="D290">
        <v>1252858098.9100001</v>
      </c>
      <c r="E290">
        <v>17016</v>
      </c>
    </row>
    <row r="291" spans="1:5" x14ac:dyDescent="0.3">
      <c r="A291" s="1">
        <v>46311</v>
      </c>
      <c r="B291" t="s">
        <v>28</v>
      </c>
      <c r="C291">
        <v>204.30919470000001</v>
      </c>
      <c r="D291">
        <v>193948463.15000001</v>
      </c>
      <c r="E291">
        <v>874</v>
      </c>
    </row>
    <row r="292" spans="1:5" x14ac:dyDescent="0.3">
      <c r="A292" s="1">
        <v>46311</v>
      </c>
      <c r="B292" t="s">
        <v>29</v>
      </c>
      <c r="C292">
        <v>176.4820235</v>
      </c>
      <c r="D292">
        <v>1602370107.4100001</v>
      </c>
      <c r="E292">
        <v>1979</v>
      </c>
    </row>
    <row r="293" spans="1:5" x14ac:dyDescent="0.3">
      <c r="A293" s="1">
        <v>46311</v>
      </c>
      <c r="B293" t="s">
        <v>32</v>
      </c>
      <c r="C293">
        <v>411.62102847</v>
      </c>
      <c r="D293">
        <v>438285237.41000003</v>
      </c>
      <c r="E293">
        <v>8109</v>
      </c>
    </row>
    <row r="294" spans="1:5" x14ac:dyDescent="0.3">
      <c r="A294" s="1">
        <v>46311</v>
      </c>
      <c r="B294" t="s">
        <v>33</v>
      </c>
      <c r="C294">
        <v>227.19794242</v>
      </c>
      <c r="D294">
        <v>758788918.42999995</v>
      </c>
      <c r="E294">
        <v>8001</v>
      </c>
    </row>
    <row r="295" spans="1:5" x14ac:dyDescent="0.3">
      <c r="A295" s="1">
        <v>46311</v>
      </c>
      <c r="B295" t="s">
        <v>34</v>
      </c>
      <c r="C295">
        <v>234.77170000000001</v>
      </c>
      <c r="D295">
        <v>86245647.939999998</v>
      </c>
      <c r="E295">
        <v>4285</v>
      </c>
    </row>
    <row r="296" spans="1:5" x14ac:dyDescent="0.3">
      <c r="A296" s="1">
        <v>46311</v>
      </c>
      <c r="B296" t="s">
        <v>35</v>
      </c>
      <c r="C296">
        <v>243.9394648</v>
      </c>
      <c r="D296">
        <v>117733913.66</v>
      </c>
      <c r="E296">
        <v>832</v>
      </c>
    </row>
    <row r="297" spans="1:5" x14ac:dyDescent="0.3">
      <c r="A297" s="1">
        <v>46311</v>
      </c>
      <c r="B297" t="s">
        <v>40</v>
      </c>
      <c r="C297">
        <v>110.97620000000001</v>
      </c>
      <c r="D297">
        <v>149576430.905</v>
      </c>
      <c r="E297"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5C34-5D1E-4F67-8251-B418B0F38380}">
  <dimension ref="B1:F13"/>
  <sheetViews>
    <sheetView workbookViewId="0">
      <selection activeCell="K25" sqref="K25"/>
    </sheetView>
  </sheetViews>
  <sheetFormatPr baseColWidth="10" defaultRowHeight="14.4" x14ac:dyDescent="0.3"/>
  <cols>
    <col min="2" max="2" width="24" bestFit="1" customWidth="1"/>
    <col min="3" max="3" width="34.33203125" bestFit="1" customWidth="1"/>
  </cols>
  <sheetData>
    <row r="1" spans="2:6" x14ac:dyDescent="0.3">
      <c r="B1" t="s">
        <v>396</v>
      </c>
      <c r="C1" t="s">
        <v>397</v>
      </c>
      <c r="D1" t="s">
        <v>37</v>
      </c>
      <c r="E1" t="s">
        <v>38</v>
      </c>
      <c r="F1" t="s">
        <v>39</v>
      </c>
    </row>
    <row r="2" spans="2:6" x14ac:dyDescent="0.3">
      <c r="B2" t="s">
        <v>22</v>
      </c>
      <c r="C2" t="s">
        <v>9</v>
      </c>
      <c r="D2">
        <f>VLOOKUP(C2,Hoja2!B:Q,5,0)</f>
        <v>175.83459361000001</v>
      </c>
      <c r="E2">
        <f>VLOOKUP(C2,Hoja2!B:Q,12,0)</f>
        <v>2705450184.71</v>
      </c>
      <c r="F2">
        <f>VLOOKUP(C2,Hoja2!B:Q,14,0)</f>
        <v>75059</v>
      </c>
    </row>
    <row r="3" spans="2:6" x14ac:dyDescent="0.3">
      <c r="B3" t="s">
        <v>23</v>
      </c>
      <c r="C3" t="s">
        <v>10</v>
      </c>
      <c r="D3">
        <f>VLOOKUP(C3,Hoja2!B:Q,5,0)</f>
        <v>215.18728877999999</v>
      </c>
      <c r="E3">
        <f>VLOOKUP(C3,Hoja2!B:Q,12,0)</f>
        <v>901603838.59000003</v>
      </c>
      <c r="F3">
        <f>VLOOKUP(C3,Hoja2!B:Q,14,0)</f>
        <v>7051</v>
      </c>
    </row>
    <row r="4" spans="2:6" x14ac:dyDescent="0.3">
      <c r="B4" t="s">
        <v>24</v>
      </c>
      <c r="C4" t="s">
        <v>11</v>
      </c>
      <c r="D4">
        <f>VLOOKUP(C4,Hoja2!B:Q,5,0)</f>
        <v>136.05660689000001</v>
      </c>
      <c r="E4">
        <f>VLOOKUP(C4,Hoja2!B:Q,12,0)</f>
        <v>391665509.10000002</v>
      </c>
      <c r="F4">
        <f>VLOOKUP(C4,Hoja2!B:Q,14,0)</f>
        <v>614</v>
      </c>
    </row>
    <row r="5" spans="2:6" x14ac:dyDescent="0.3">
      <c r="B5" t="s">
        <v>25</v>
      </c>
      <c r="C5" t="s">
        <v>12</v>
      </c>
      <c r="D5" s="14">
        <f>VLOOKUP("CREDICORP SAF-CRED. CONSER. CORTO PLAZO S/ SERIE A",Hoja2!B:Q,5,0)</f>
        <v>166.77472852</v>
      </c>
      <c r="E5">
        <f>VLOOKUP(C5,Hoja2!B:Q,12,0)</f>
        <v>1312884105.1199999</v>
      </c>
      <c r="F5">
        <f>VLOOKUP(C5,Hoja2!B:Q,14,0)</f>
        <v>13772</v>
      </c>
    </row>
    <row r="6" spans="2:6" x14ac:dyDescent="0.3">
      <c r="B6" t="s">
        <v>26</v>
      </c>
      <c r="C6" t="s">
        <v>13</v>
      </c>
      <c r="D6" s="14">
        <f>VLOOKUP("CREDICORP SAF-CRED. CONSERVAD. LIQUIDEZ S/ SERIE A",Hoja2!B:Q,5,0)</f>
        <v>361.75432577999999</v>
      </c>
      <c r="E6">
        <f>VLOOKUP(C6,Hoja2!B:Q,12,0)</f>
        <v>3481232200.6300001</v>
      </c>
      <c r="F6">
        <f>VLOOKUP(C6,Hoja2!B:Q,14,0)</f>
        <v>45788</v>
      </c>
    </row>
    <row r="7" spans="2:6" x14ac:dyDescent="0.3">
      <c r="B7" t="s">
        <v>27</v>
      </c>
      <c r="C7" t="s">
        <v>14</v>
      </c>
      <c r="D7">
        <f>VLOOKUP(C7,Hoja2!B:Q,5,0)</f>
        <v>12.22566097</v>
      </c>
      <c r="E7">
        <f>VLOOKUP(C7,Hoja2!B:Q,12,0)</f>
        <v>1252858098.9100001</v>
      </c>
      <c r="F7">
        <f>VLOOKUP(C7,Hoja2!B:Q,14,0)</f>
        <v>17016</v>
      </c>
    </row>
    <row r="8" spans="2:6" x14ac:dyDescent="0.3">
      <c r="B8" t="s">
        <v>28</v>
      </c>
      <c r="C8" t="s">
        <v>15</v>
      </c>
      <c r="D8" s="14">
        <f>VLOOKUP("FONDOS SURA SAF-SURA CORTO PLAZO SOLES SERIE A",Hoja2!B:Q,5,0)</f>
        <v>204.30919470000001</v>
      </c>
      <c r="E8">
        <f>VLOOKUP(C8,Hoja2!B:Q,12,0)</f>
        <v>193948463.15000001</v>
      </c>
      <c r="F8">
        <f>VLOOKUP(C8,Hoja2!B:Q,14,0)</f>
        <v>874</v>
      </c>
    </row>
    <row r="9" spans="2:6" x14ac:dyDescent="0.3">
      <c r="B9" t="s">
        <v>29</v>
      </c>
      <c r="C9" t="s">
        <v>21</v>
      </c>
      <c r="D9" s="14">
        <f>VLOOKUP("FONDOS SURA SAF-SURA ULTRA CASH SOLES SERIE A",Hoja2!B:Q,5,0)</f>
        <v>176.4820235</v>
      </c>
      <c r="E9">
        <f>VLOOKUP(C9,Hoja2!B:Q,12,0)</f>
        <v>1602370107.4100001</v>
      </c>
      <c r="F9">
        <f>VLOOKUP(C9,Hoja2!B:Q,14,0)</f>
        <v>1979</v>
      </c>
    </row>
    <row r="10" spans="2:6" x14ac:dyDescent="0.3">
      <c r="B10" t="s">
        <v>32</v>
      </c>
      <c r="C10" t="s">
        <v>5</v>
      </c>
      <c r="D10">
        <f>VLOOKUP(C10,Hoja2!B:Q,5,0)</f>
        <v>411.62102847</v>
      </c>
      <c r="E10">
        <f>VLOOKUP(C10,Hoja2!B:Q,12,0)</f>
        <v>438285237.41000003</v>
      </c>
      <c r="F10">
        <f>VLOOKUP(C10,Hoja2!B:Q,14,0)</f>
        <v>8109</v>
      </c>
    </row>
    <row r="11" spans="2:6" x14ac:dyDescent="0.3">
      <c r="B11" t="s">
        <v>33</v>
      </c>
      <c r="C11" t="s">
        <v>6</v>
      </c>
      <c r="D11" s="14">
        <f>VLOOKUP("CREDICORP SAF-CC CONSERV. MED. PLAZO S/. SERIE A",Hoja2!B:Q,5,0)</f>
        <v>227.19794242</v>
      </c>
      <c r="E11">
        <f>VLOOKUP(C11,Hoja2!B:Q,12,0)</f>
        <v>758788918.42999995</v>
      </c>
      <c r="F11">
        <f>VLOOKUP(C11,Hoja2!B:Q,14,0)</f>
        <v>8001</v>
      </c>
    </row>
    <row r="12" spans="2:6" x14ac:dyDescent="0.3">
      <c r="B12" t="s">
        <v>34</v>
      </c>
      <c r="C12" t="s">
        <v>7</v>
      </c>
      <c r="D12">
        <f>VLOOKUP(C12,Hoja2!B:Q,5,0)</f>
        <v>234.77170000000001</v>
      </c>
      <c r="E12">
        <f>VLOOKUP(C12,Hoja2!B:Q,12,0)</f>
        <v>86245647.939999998</v>
      </c>
      <c r="F12">
        <f>VLOOKUP(C12,Hoja2!B:Q,14,0)</f>
        <v>4285</v>
      </c>
    </row>
    <row r="13" spans="2:6" x14ac:dyDescent="0.3">
      <c r="B13" t="s">
        <v>35</v>
      </c>
      <c r="C13" t="s">
        <v>8</v>
      </c>
      <c r="D13" s="14">
        <f>VLOOKUP("FONDOS SURA SAF-SURA RENTA SOLES SERIE A",Hoja2!B:Q,5,0)</f>
        <v>243.9394648</v>
      </c>
      <c r="E13">
        <f>VLOOKUP(C13,Hoja2!B:Q,12,0)</f>
        <v>117733913.66</v>
      </c>
      <c r="F13">
        <f>VLOOKUP(C13,Hoja2!B:Q,14,0)</f>
        <v>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3046-C98B-4F65-9E3A-6D8A29B21B00}">
  <dimension ref="A1:Q342"/>
  <sheetViews>
    <sheetView workbookViewId="0">
      <pane ySplit="1" topLeftCell="A334" activePane="bottomLeft" state="frozen"/>
      <selection pane="bottomLeft" activeCell="I346" sqref="I346"/>
    </sheetView>
  </sheetViews>
  <sheetFormatPr baseColWidth="10" defaultRowHeight="14.4" x14ac:dyDescent="0.3"/>
  <cols>
    <col min="4" max="4" width="11.77734375" bestFit="1" customWidth="1"/>
    <col min="6" max="12" width="11.77734375" bestFit="1" customWidth="1"/>
    <col min="13" max="13" width="14.77734375" bestFit="1" customWidth="1"/>
    <col min="14" max="17" width="11.77734375" bestFit="1" customWidth="1"/>
  </cols>
  <sheetData>
    <row r="1" spans="1:17" ht="55.8" thickBot="1" x14ac:dyDescent="0.35">
      <c r="A1" s="2" t="s">
        <v>43</v>
      </c>
      <c r="B1" s="3" t="s">
        <v>44</v>
      </c>
      <c r="C1" s="3" t="s">
        <v>2</v>
      </c>
      <c r="D1" s="3" t="s">
        <v>45</v>
      </c>
      <c r="E1" s="3" t="s">
        <v>46</v>
      </c>
      <c r="F1" s="3" t="s">
        <v>37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4" t="s">
        <v>57</v>
      </c>
    </row>
    <row r="2" spans="1:17" ht="69.599999999999994" thickBot="1" x14ac:dyDescent="0.35">
      <c r="A2" s="5" t="s">
        <v>58</v>
      </c>
      <c r="B2" s="5" t="s">
        <v>59</v>
      </c>
      <c r="C2" s="5" t="s">
        <v>18</v>
      </c>
      <c r="D2" s="6">
        <v>41358</v>
      </c>
      <c r="E2" s="5" t="s">
        <v>60</v>
      </c>
      <c r="F2" s="5">
        <v>245.42066199999999</v>
      </c>
      <c r="G2" s="7">
        <v>0.1007</v>
      </c>
      <c r="H2" s="7">
        <v>0.188</v>
      </c>
      <c r="I2" s="7">
        <v>0.1326</v>
      </c>
      <c r="J2" s="7">
        <v>0.1656</v>
      </c>
      <c r="K2" s="7">
        <v>-0.2041</v>
      </c>
      <c r="L2" s="7">
        <v>0.13969999999999999</v>
      </c>
      <c r="M2" s="8">
        <v>93767259.739999995</v>
      </c>
      <c r="N2" s="7">
        <v>1.4E-3</v>
      </c>
      <c r="O2" s="8">
        <v>2452</v>
      </c>
      <c r="P2" s="7">
        <v>3.2000000000000002E-3</v>
      </c>
      <c r="Q2" s="6">
        <v>46311</v>
      </c>
    </row>
    <row r="3" spans="1:17" ht="69.599999999999994" thickBot="1" x14ac:dyDescent="0.35">
      <c r="A3" s="9" t="s">
        <v>58</v>
      </c>
      <c r="B3" s="9" t="s">
        <v>61</v>
      </c>
      <c r="C3" s="9" t="s">
        <v>18</v>
      </c>
      <c r="D3" s="10">
        <v>39099</v>
      </c>
      <c r="E3" s="9" t="s">
        <v>60</v>
      </c>
      <c r="F3" s="9">
        <v>322.37154900000002</v>
      </c>
      <c r="G3" s="11">
        <v>0.29830000000000001</v>
      </c>
      <c r="H3" s="11">
        <v>0.50019999999999998</v>
      </c>
      <c r="I3" s="11">
        <v>9.3899999999999997E-2</v>
      </c>
      <c r="J3" s="11">
        <v>0.22800000000000001</v>
      </c>
      <c r="K3" s="11">
        <v>2.1499999999999998E-2</v>
      </c>
      <c r="L3" s="11">
        <v>-6.4399999999999999E-2</v>
      </c>
      <c r="M3" s="12">
        <v>143884580.11000001</v>
      </c>
      <c r="N3" s="11">
        <v>2.2000000000000001E-3</v>
      </c>
      <c r="O3" s="12">
        <v>2128</v>
      </c>
      <c r="P3" s="11">
        <v>2.8E-3</v>
      </c>
      <c r="Q3" s="10">
        <v>46311</v>
      </c>
    </row>
    <row r="4" spans="1:17" ht="69.599999999999994" thickBot="1" x14ac:dyDescent="0.35">
      <c r="A4" s="5" t="s">
        <v>58</v>
      </c>
      <c r="B4" s="5" t="s">
        <v>62</v>
      </c>
      <c r="C4" s="5" t="s">
        <v>63</v>
      </c>
      <c r="D4" s="6">
        <v>43249</v>
      </c>
      <c r="E4" s="5" t="s">
        <v>60</v>
      </c>
      <c r="F4" s="5">
        <v>0</v>
      </c>
      <c r="G4" s="5"/>
      <c r="H4" s="5"/>
      <c r="I4" s="5"/>
      <c r="J4" s="5"/>
      <c r="K4" s="5"/>
      <c r="L4" s="5"/>
      <c r="M4" s="8">
        <v>68147270.239999995</v>
      </c>
      <c r="N4" s="7">
        <v>1E-3</v>
      </c>
      <c r="O4" s="5">
        <v>44</v>
      </c>
      <c r="P4" s="7">
        <v>1E-4</v>
      </c>
      <c r="Q4" s="6">
        <v>46311</v>
      </c>
    </row>
    <row r="5" spans="1:17" ht="83.4" thickBot="1" x14ac:dyDescent="0.35">
      <c r="A5" s="9" t="s">
        <v>58</v>
      </c>
      <c r="B5" s="9" t="s">
        <v>64</v>
      </c>
      <c r="C5" s="9" t="s">
        <v>63</v>
      </c>
      <c r="D5" s="10">
        <v>43249</v>
      </c>
      <c r="E5" s="9" t="s">
        <v>60</v>
      </c>
      <c r="F5" s="9">
        <v>197.69725498</v>
      </c>
      <c r="G5" s="11">
        <v>0.11609999999999999</v>
      </c>
      <c r="H5" s="11">
        <v>0.15609999999999999</v>
      </c>
      <c r="I5" s="11">
        <v>0.12759999999999999</v>
      </c>
      <c r="J5" s="11">
        <v>0.1724</v>
      </c>
      <c r="K5" s="11">
        <v>-0.20599999999999999</v>
      </c>
      <c r="L5" s="11">
        <v>0.1192</v>
      </c>
      <c r="M5" s="9"/>
      <c r="N5" s="9"/>
      <c r="O5" s="9">
        <v>3</v>
      </c>
      <c r="P5" s="11">
        <v>0</v>
      </c>
      <c r="Q5" s="10">
        <v>46311</v>
      </c>
    </row>
    <row r="6" spans="1:17" ht="83.4" thickBot="1" x14ac:dyDescent="0.35">
      <c r="A6" s="5" t="s">
        <v>58</v>
      </c>
      <c r="B6" s="5" t="s">
        <v>65</v>
      </c>
      <c r="C6" s="5" t="s">
        <v>63</v>
      </c>
      <c r="D6" s="6">
        <v>43249</v>
      </c>
      <c r="E6" s="5" t="s">
        <v>60</v>
      </c>
      <c r="F6" s="5">
        <v>193.17447684000001</v>
      </c>
      <c r="G6" s="7">
        <v>0.114</v>
      </c>
      <c r="H6" s="7">
        <v>0.15340000000000001</v>
      </c>
      <c r="I6" s="7">
        <v>0.1249</v>
      </c>
      <c r="J6" s="7">
        <v>0.16969999999999999</v>
      </c>
      <c r="K6" s="7">
        <v>-0.20799999999999999</v>
      </c>
      <c r="L6" s="7">
        <v>0.11650000000000001</v>
      </c>
      <c r="M6" s="5"/>
      <c r="N6" s="5"/>
      <c r="O6" s="5">
        <v>7</v>
      </c>
      <c r="P6" s="7">
        <v>0</v>
      </c>
      <c r="Q6" s="6">
        <v>46311</v>
      </c>
    </row>
    <row r="7" spans="1:17" ht="83.4" thickBot="1" x14ac:dyDescent="0.35">
      <c r="A7" s="9" t="s">
        <v>58</v>
      </c>
      <c r="B7" s="9" t="s">
        <v>66</v>
      </c>
      <c r="C7" s="9" t="s">
        <v>63</v>
      </c>
      <c r="D7" s="10">
        <v>43249</v>
      </c>
      <c r="E7" s="9" t="s">
        <v>60</v>
      </c>
      <c r="F7" s="9">
        <v>186.39764636000001</v>
      </c>
      <c r="G7" s="11">
        <v>0.1119</v>
      </c>
      <c r="H7" s="11">
        <v>0.15060000000000001</v>
      </c>
      <c r="I7" s="11">
        <v>0.1198</v>
      </c>
      <c r="J7" s="11">
        <v>0.16420000000000001</v>
      </c>
      <c r="K7" s="11">
        <v>-0.2117</v>
      </c>
      <c r="L7" s="11">
        <v>0.1113</v>
      </c>
      <c r="M7" s="9"/>
      <c r="N7" s="9"/>
      <c r="O7" s="9">
        <v>34</v>
      </c>
      <c r="P7" s="11">
        <v>0</v>
      </c>
      <c r="Q7" s="10">
        <v>46311</v>
      </c>
    </row>
    <row r="8" spans="1:17" ht="28.2" thickBot="1" x14ac:dyDescent="0.35">
      <c r="A8" s="5" t="s">
        <v>58</v>
      </c>
      <c r="B8" s="5" t="s">
        <v>67</v>
      </c>
      <c r="C8" s="5" t="s">
        <v>31</v>
      </c>
      <c r="D8" s="6">
        <v>39101</v>
      </c>
      <c r="E8" s="5" t="s">
        <v>68</v>
      </c>
      <c r="F8" s="5">
        <v>182.32749999999999</v>
      </c>
      <c r="G8" s="7">
        <v>0.27310000000000001</v>
      </c>
      <c r="H8" s="7">
        <v>0.33950000000000002</v>
      </c>
      <c r="I8" s="7">
        <v>5.9799999999999999E-2</v>
      </c>
      <c r="J8" s="7">
        <v>0.13980000000000001</v>
      </c>
      <c r="K8" s="7">
        <v>-7.4300000000000005E-2</v>
      </c>
      <c r="L8" s="7">
        <v>7.4999999999999997E-2</v>
      </c>
      <c r="M8" s="8">
        <v>70932352.810000002</v>
      </c>
      <c r="N8" s="7">
        <v>1.1000000000000001E-3</v>
      </c>
      <c r="O8" s="8">
        <v>3815</v>
      </c>
      <c r="P8" s="7">
        <v>5.0000000000000001E-3</v>
      </c>
      <c r="Q8" s="6">
        <v>46311</v>
      </c>
    </row>
    <row r="9" spans="1:17" ht="69.599999999999994" thickBot="1" x14ac:dyDescent="0.35">
      <c r="A9" s="9" t="s">
        <v>58</v>
      </c>
      <c r="B9" s="9" t="s">
        <v>69</v>
      </c>
      <c r="C9" s="9" t="s">
        <v>70</v>
      </c>
      <c r="D9" s="10">
        <v>36174</v>
      </c>
      <c r="E9" s="9" t="s">
        <v>60</v>
      </c>
      <c r="F9" s="9">
        <v>5.66004738</v>
      </c>
      <c r="G9" s="11">
        <v>0.21659999999999999</v>
      </c>
      <c r="H9" s="11">
        <v>0.48089999999999999</v>
      </c>
      <c r="I9" s="11">
        <v>4.8800000000000003E-2</v>
      </c>
      <c r="J9" s="11">
        <v>5.9499999999999997E-2</v>
      </c>
      <c r="K9" s="11">
        <v>-3.8100000000000002E-2</v>
      </c>
      <c r="L9" s="11">
        <v>0.03</v>
      </c>
      <c r="M9" s="12">
        <v>5493878.6900000004</v>
      </c>
      <c r="N9" s="11">
        <v>1E-4</v>
      </c>
      <c r="O9" s="9">
        <v>400</v>
      </c>
      <c r="P9" s="11">
        <v>5.0000000000000001E-4</v>
      </c>
      <c r="Q9" s="10">
        <v>46311</v>
      </c>
    </row>
    <row r="10" spans="1:17" ht="55.8" thickBot="1" x14ac:dyDescent="0.35">
      <c r="A10" s="5" t="s">
        <v>58</v>
      </c>
      <c r="B10" s="5" t="s">
        <v>71</v>
      </c>
      <c r="C10" s="5" t="s">
        <v>20</v>
      </c>
      <c r="D10" s="6">
        <v>39104</v>
      </c>
      <c r="E10" s="5" t="s">
        <v>68</v>
      </c>
      <c r="F10" s="5">
        <v>28.513689800000002</v>
      </c>
      <c r="G10" s="7">
        <v>0.3342</v>
      </c>
      <c r="H10" s="7">
        <v>0.33539999999999998</v>
      </c>
      <c r="I10" s="7">
        <v>0.1</v>
      </c>
      <c r="J10" s="7">
        <v>0.20200000000000001</v>
      </c>
      <c r="K10" s="7">
        <v>-7.2599999999999998E-2</v>
      </c>
      <c r="L10" s="7">
        <v>5.7599999999999998E-2</v>
      </c>
      <c r="M10" s="8">
        <v>35786896.420000002</v>
      </c>
      <c r="N10" s="7">
        <v>5.0000000000000001E-4</v>
      </c>
      <c r="O10" s="5">
        <v>764</v>
      </c>
      <c r="P10" s="7">
        <v>1E-3</v>
      </c>
      <c r="Q10" s="6">
        <v>46311</v>
      </c>
    </row>
    <row r="11" spans="1:17" ht="55.8" thickBot="1" x14ac:dyDescent="0.35">
      <c r="A11" s="9" t="s">
        <v>72</v>
      </c>
      <c r="B11" s="9" t="s">
        <v>73</v>
      </c>
      <c r="C11" s="9" t="s">
        <v>19</v>
      </c>
      <c r="D11" s="10">
        <v>46175</v>
      </c>
      <c r="E11" s="9" t="s">
        <v>60</v>
      </c>
      <c r="F11" s="9">
        <v>110.29901519000001</v>
      </c>
      <c r="G11" s="11">
        <v>0.1021</v>
      </c>
      <c r="H11" s="9"/>
      <c r="I11" s="9"/>
      <c r="J11" s="9"/>
      <c r="K11" s="9"/>
      <c r="L11" s="9"/>
      <c r="M11" s="12">
        <v>62097949.340000004</v>
      </c>
      <c r="N11" s="11">
        <v>8.9999999999999998E-4</v>
      </c>
      <c r="O11" s="9">
        <v>18</v>
      </c>
      <c r="P11" s="11">
        <v>0</v>
      </c>
      <c r="Q11" s="10">
        <v>46311</v>
      </c>
    </row>
    <row r="12" spans="1:17" ht="69.599999999999994" thickBot="1" x14ac:dyDescent="0.35">
      <c r="A12" s="5" t="s">
        <v>74</v>
      </c>
      <c r="B12" s="5" t="s">
        <v>75</v>
      </c>
      <c r="C12" s="5" t="s">
        <v>76</v>
      </c>
      <c r="D12" s="6">
        <v>45518</v>
      </c>
      <c r="E12" s="5" t="s">
        <v>68</v>
      </c>
      <c r="F12" s="5">
        <v>0</v>
      </c>
      <c r="G12" s="5"/>
      <c r="H12" s="5"/>
      <c r="I12" s="5"/>
      <c r="J12" s="5"/>
      <c r="K12" s="5"/>
      <c r="L12" s="5"/>
      <c r="M12" s="8">
        <v>1230552.23</v>
      </c>
      <c r="N12" s="7">
        <v>0</v>
      </c>
      <c r="O12" s="5">
        <v>78</v>
      </c>
      <c r="P12" s="7">
        <v>1E-4</v>
      </c>
      <c r="Q12" s="6">
        <v>46311</v>
      </c>
    </row>
    <row r="13" spans="1:17" ht="69.599999999999994" thickBot="1" x14ac:dyDescent="0.35">
      <c r="A13" s="9" t="s">
        <v>74</v>
      </c>
      <c r="B13" s="9" t="s">
        <v>77</v>
      </c>
      <c r="C13" s="9" t="s">
        <v>76</v>
      </c>
      <c r="D13" s="10">
        <v>45518</v>
      </c>
      <c r="E13" s="9" t="s">
        <v>68</v>
      </c>
      <c r="F13" s="9">
        <v>11.29056241</v>
      </c>
      <c r="G13" s="11">
        <v>-1</v>
      </c>
      <c r="H13" s="11">
        <v>5.4699999999999999E-2</v>
      </c>
      <c r="I13" s="11">
        <v>2.4799999999999999E-2</v>
      </c>
      <c r="J13" s="9"/>
      <c r="K13" s="9"/>
      <c r="L13" s="9"/>
      <c r="M13" s="9"/>
      <c r="N13" s="9"/>
      <c r="O13" s="9">
        <v>75</v>
      </c>
      <c r="P13" s="11">
        <v>1E-4</v>
      </c>
      <c r="Q13" s="10">
        <v>46295</v>
      </c>
    </row>
    <row r="14" spans="1:17" ht="69.599999999999994" thickBot="1" x14ac:dyDescent="0.35">
      <c r="A14" s="5" t="s">
        <v>74</v>
      </c>
      <c r="B14" s="5" t="s">
        <v>78</v>
      </c>
      <c r="C14" s="5" t="s">
        <v>76</v>
      </c>
      <c r="D14" s="6">
        <v>45518</v>
      </c>
      <c r="E14" s="5" t="s">
        <v>68</v>
      </c>
      <c r="F14" s="5">
        <v>11.096746169999999</v>
      </c>
      <c r="G14" s="7">
        <v>-1</v>
      </c>
      <c r="H14" s="7">
        <v>5.7299999999999997E-2</v>
      </c>
      <c r="I14" s="5"/>
      <c r="J14" s="5"/>
      <c r="K14" s="5"/>
      <c r="L14" s="5"/>
      <c r="M14" s="5"/>
      <c r="N14" s="5"/>
      <c r="O14" s="5">
        <v>1</v>
      </c>
      <c r="P14" s="7">
        <v>0</v>
      </c>
      <c r="Q14" s="6">
        <v>46295</v>
      </c>
    </row>
    <row r="15" spans="1:17" ht="69.599999999999994" thickBot="1" x14ac:dyDescent="0.35">
      <c r="A15" s="9" t="s">
        <v>74</v>
      </c>
      <c r="B15" s="9" t="s">
        <v>79</v>
      </c>
      <c r="C15" s="9" t="s">
        <v>80</v>
      </c>
      <c r="D15" s="10">
        <v>45386</v>
      </c>
      <c r="E15" s="9" t="s">
        <v>68</v>
      </c>
      <c r="F15" s="9">
        <v>0</v>
      </c>
      <c r="G15" s="9"/>
      <c r="H15" s="9"/>
      <c r="I15" s="9"/>
      <c r="J15" s="9"/>
      <c r="K15" s="9"/>
      <c r="L15" s="9"/>
      <c r="M15" s="12">
        <v>37843809.799999997</v>
      </c>
      <c r="N15" s="11">
        <v>5.9999999999999995E-4</v>
      </c>
      <c r="O15" s="9">
        <v>333</v>
      </c>
      <c r="P15" s="11">
        <v>4.0000000000000002E-4</v>
      </c>
      <c r="Q15" s="10">
        <v>46311</v>
      </c>
    </row>
    <row r="16" spans="1:17" ht="69.599999999999994" thickBot="1" x14ac:dyDescent="0.35">
      <c r="A16" s="5" t="s">
        <v>74</v>
      </c>
      <c r="B16" s="5" t="s">
        <v>81</v>
      </c>
      <c r="C16" s="5" t="s">
        <v>80</v>
      </c>
      <c r="D16" s="6">
        <v>45386</v>
      </c>
      <c r="E16" s="5" t="s">
        <v>68</v>
      </c>
      <c r="F16" s="5">
        <v>11.505989469999999</v>
      </c>
      <c r="G16" s="7">
        <v>3.1E-2</v>
      </c>
      <c r="H16" s="7">
        <v>4.0500000000000001E-2</v>
      </c>
      <c r="I16" s="7">
        <v>3.4299999999999997E-2</v>
      </c>
      <c r="J16" s="5"/>
      <c r="K16" s="5"/>
      <c r="L16" s="5"/>
      <c r="M16" s="5"/>
      <c r="N16" s="5"/>
      <c r="O16" s="5">
        <v>333</v>
      </c>
      <c r="P16" s="7">
        <v>4.0000000000000002E-4</v>
      </c>
      <c r="Q16" s="6">
        <v>46311</v>
      </c>
    </row>
    <row r="17" spans="1:17" ht="69.599999999999994" thickBot="1" x14ac:dyDescent="0.35">
      <c r="A17" s="9" t="s">
        <v>74</v>
      </c>
      <c r="B17" s="9" t="s">
        <v>82</v>
      </c>
      <c r="C17" s="9" t="s">
        <v>80</v>
      </c>
      <c r="D17" s="10">
        <v>45386</v>
      </c>
      <c r="E17" s="9" t="s">
        <v>68</v>
      </c>
      <c r="F17" s="9">
        <v>11.109104240000001</v>
      </c>
      <c r="G17" s="11">
        <v>-1</v>
      </c>
      <c r="H17" s="11">
        <v>4.1700000000000001E-2</v>
      </c>
      <c r="I17" s="11">
        <v>3.49E-2</v>
      </c>
      <c r="J17" s="9"/>
      <c r="K17" s="9"/>
      <c r="L17" s="9"/>
      <c r="M17" s="9"/>
      <c r="N17" s="9"/>
      <c r="O17" s="9">
        <v>1</v>
      </c>
      <c r="P17" s="11">
        <v>0</v>
      </c>
      <c r="Q17" s="10">
        <v>46055</v>
      </c>
    </row>
    <row r="18" spans="1:17" ht="83.4" thickBot="1" x14ac:dyDescent="0.35">
      <c r="A18" s="5" t="s">
        <v>83</v>
      </c>
      <c r="B18" s="5" t="s">
        <v>84</v>
      </c>
      <c r="C18" s="5" t="s">
        <v>76</v>
      </c>
      <c r="D18" s="6">
        <v>45394</v>
      </c>
      <c r="E18" s="5" t="s">
        <v>60</v>
      </c>
      <c r="F18" s="5">
        <v>0</v>
      </c>
      <c r="G18" s="5"/>
      <c r="H18" s="5"/>
      <c r="I18" s="5"/>
      <c r="J18" s="5"/>
      <c r="K18" s="5"/>
      <c r="L18" s="5"/>
      <c r="M18" s="8">
        <v>1726033.52</v>
      </c>
      <c r="N18" s="7">
        <v>0</v>
      </c>
      <c r="O18" s="5">
        <v>93</v>
      </c>
      <c r="P18" s="7">
        <v>1E-4</v>
      </c>
      <c r="Q18" s="6">
        <v>46311</v>
      </c>
    </row>
    <row r="19" spans="1:17" ht="97.2" thickBot="1" x14ac:dyDescent="0.35">
      <c r="A19" s="9" t="s">
        <v>83</v>
      </c>
      <c r="B19" s="9" t="s">
        <v>85</v>
      </c>
      <c r="C19" s="9" t="s">
        <v>76</v>
      </c>
      <c r="D19" s="10">
        <v>45394</v>
      </c>
      <c r="E19" s="9" t="s">
        <v>60</v>
      </c>
      <c r="F19" s="9">
        <v>11.269037689999999</v>
      </c>
      <c r="G19" s="11">
        <v>-1</v>
      </c>
      <c r="H19" s="11">
        <v>5.1499999999999997E-2</v>
      </c>
      <c r="I19" s="11">
        <v>3.3700000000000001E-2</v>
      </c>
      <c r="J19" s="9"/>
      <c r="K19" s="9"/>
      <c r="L19" s="9"/>
      <c r="M19" s="9"/>
      <c r="N19" s="9"/>
      <c r="O19" s="9">
        <v>84</v>
      </c>
      <c r="P19" s="11">
        <v>1E-4</v>
      </c>
      <c r="Q19" s="10">
        <v>46295</v>
      </c>
    </row>
    <row r="20" spans="1:17" ht="97.2" thickBot="1" x14ac:dyDescent="0.35">
      <c r="A20" s="5" t="s">
        <v>83</v>
      </c>
      <c r="B20" s="5" t="s">
        <v>86</v>
      </c>
      <c r="C20" s="5" t="s">
        <v>76</v>
      </c>
      <c r="D20" s="6">
        <v>45394</v>
      </c>
      <c r="E20" s="5" t="s">
        <v>60</v>
      </c>
      <c r="F20" s="5">
        <v>10.557893529999999</v>
      </c>
      <c r="G20" s="7">
        <v>-1</v>
      </c>
      <c r="H20" s="7">
        <v>-1.6199999999999999E-2</v>
      </c>
      <c r="I20" s="7">
        <v>3.5099999999999999E-2</v>
      </c>
      <c r="J20" s="5"/>
      <c r="K20" s="5"/>
      <c r="L20" s="5"/>
      <c r="M20" s="5"/>
      <c r="N20" s="5"/>
      <c r="O20" s="5">
        <v>3</v>
      </c>
      <c r="P20" s="7">
        <v>0</v>
      </c>
      <c r="Q20" s="6">
        <v>46295</v>
      </c>
    </row>
    <row r="21" spans="1:17" ht="55.8" thickBot="1" x14ac:dyDescent="0.35">
      <c r="A21" s="9" t="s">
        <v>83</v>
      </c>
      <c r="B21" s="9" t="s">
        <v>87</v>
      </c>
      <c r="C21" s="9" t="s">
        <v>80</v>
      </c>
      <c r="D21" s="10">
        <v>45505</v>
      </c>
      <c r="E21" s="9" t="s">
        <v>60</v>
      </c>
      <c r="F21" s="9">
        <v>0</v>
      </c>
      <c r="G21" s="9"/>
      <c r="H21" s="9"/>
      <c r="I21" s="9"/>
      <c r="J21" s="9"/>
      <c r="K21" s="9"/>
      <c r="L21" s="9"/>
      <c r="M21" s="12">
        <v>32105328.170000002</v>
      </c>
      <c r="N21" s="11">
        <v>5.0000000000000001E-4</v>
      </c>
      <c r="O21" s="9">
        <v>267</v>
      </c>
      <c r="P21" s="11">
        <v>4.0000000000000002E-4</v>
      </c>
      <c r="Q21" s="10">
        <v>46311</v>
      </c>
    </row>
    <row r="22" spans="1:17" ht="69.599999999999994" thickBot="1" x14ac:dyDescent="0.35">
      <c r="A22" s="5" t="s">
        <v>83</v>
      </c>
      <c r="B22" s="5" t="s">
        <v>88</v>
      </c>
      <c r="C22" s="5" t="s">
        <v>80</v>
      </c>
      <c r="D22" s="6">
        <v>45505</v>
      </c>
      <c r="E22" s="5" t="s">
        <v>60</v>
      </c>
      <c r="F22" s="5">
        <v>11.241484030000001</v>
      </c>
      <c r="G22" s="7">
        <v>2.4899999999999999E-2</v>
      </c>
      <c r="H22" s="7">
        <v>3.1300000000000001E-2</v>
      </c>
      <c r="I22" s="7">
        <v>1.6799999999999999E-2</v>
      </c>
      <c r="J22" s="5"/>
      <c r="K22" s="5"/>
      <c r="L22" s="5"/>
      <c r="M22" s="5"/>
      <c r="N22" s="5"/>
      <c r="O22" s="5">
        <v>267</v>
      </c>
      <c r="P22" s="7">
        <v>4.0000000000000002E-4</v>
      </c>
      <c r="Q22" s="6">
        <v>46311</v>
      </c>
    </row>
    <row r="23" spans="1:17" ht="69.599999999999994" thickBot="1" x14ac:dyDescent="0.35">
      <c r="A23" s="9" t="s">
        <v>83</v>
      </c>
      <c r="B23" s="9" t="s">
        <v>89</v>
      </c>
      <c r="C23" s="9" t="s">
        <v>80</v>
      </c>
      <c r="D23" s="10">
        <v>45505</v>
      </c>
      <c r="E23" s="9" t="s">
        <v>60</v>
      </c>
      <c r="F23" s="9">
        <v>10.881894640000001</v>
      </c>
      <c r="G23" s="11">
        <v>-1</v>
      </c>
      <c r="H23" s="11">
        <v>3.2500000000000001E-2</v>
      </c>
      <c r="I23" s="11">
        <v>1.7299999999999999E-2</v>
      </c>
      <c r="J23" s="9"/>
      <c r="K23" s="9"/>
      <c r="L23" s="9"/>
      <c r="M23" s="9"/>
      <c r="N23" s="9"/>
      <c r="O23" s="9">
        <v>1</v>
      </c>
      <c r="P23" s="11">
        <v>0</v>
      </c>
      <c r="Q23" s="10">
        <v>46030</v>
      </c>
    </row>
    <row r="24" spans="1:17" ht="55.8" thickBot="1" x14ac:dyDescent="0.35">
      <c r="A24" s="5" t="s">
        <v>90</v>
      </c>
      <c r="B24" s="5" t="s">
        <v>91</v>
      </c>
      <c r="C24" s="5" t="s">
        <v>18</v>
      </c>
      <c r="D24" s="6">
        <v>46274</v>
      </c>
      <c r="E24" s="5" t="s">
        <v>60</v>
      </c>
      <c r="F24" s="5">
        <v>101.11710600000001</v>
      </c>
      <c r="G24" s="7">
        <v>9.7999999999999997E-3</v>
      </c>
      <c r="H24" s="5"/>
      <c r="I24" s="5"/>
      <c r="J24" s="5"/>
      <c r="K24" s="5"/>
      <c r="L24" s="5"/>
      <c r="M24" s="8">
        <v>23333844.16</v>
      </c>
      <c r="N24" s="7">
        <v>4.0000000000000002E-4</v>
      </c>
      <c r="O24" s="5">
        <v>116</v>
      </c>
      <c r="P24" s="7">
        <v>2.0000000000000001E-4</v>
      </c>
      <c r="Q24" s="6">
        <v>46311</v>
      </c>
    </row>
    <row r="25" spans="1:17" ht="55.8" thickBot="1" x14ac:dyDescent="0.35">
      <c r="A25" s="9" t="s">
        <v>90</v>
      </c>
      <c r="B25" s="9" t="s">
        <v>406</v>
      </c>
      <c r="C25" s="9" t="s">
        <v>18</v>
      </c>
      <c r="D25" s="10">
        <v>46309</v>
      </c>
      <c r="E25" s="9" t="s">
        <v>60</v>
      </c>
      <c r="F25" s="9">
        <v>100.200356</v>
      </c>
      <c r="G25" s="11">
        <v>2.9999999999999997E-4</v>
      </c>
      <c r="H25" s="9"/>
      <c r="I25" s="9"/>
      <c r="J25" s="9"/>
      <c r="K25" s="9"/>
      <c r="L25" s="9"/>
      <c r="M25" s="12">
        <v>15503425.68</v>
      </c>
      <c r="N25" s="11">
        <v>2.0000000000000001E-4</v>
      </c>
      <c r="O25" s="9">
        <v>82</v>
      </c>
      <c r="P25" s="11">
        <v>1E-4</v>
      </c>
      <c r="Q25" s="10">
        <v>46311</v>
      </c>
    </row>
    <row r="26" spans="1:17" ht="55.8" thickBot="1" x14ac:dyDescent="0.35">
      <c r="A26" s="5" t="s">
        <v>90</v>
      </c>
      <c r="B26" s="5" t="s">
        <v>407</v>
      </c>
      <c r="C26" s="5" t="s">
        <v>18</v>
      </c>
      <c r="D26" s="6">
        <v>46273</v>
      </c>
      <c r="E26" s="5" t="s">
        <v>68</v>
      </c>
      <c r="F26" s="5">
        <v>100.35539891000001</v>
      </c>
      <c r="G26" s="7">
        <v>1.5E-3</v>
      </c>
      <c r="H26" s="5"/>
      <c r="I26" s="5"/>
      <c r="J26" s="5"/>
      <c r="K26" s="5"/>
      <c r="L26" s="5"/>
      <c r="M26" s="8">
        <v>11044471.300000001</v>
      </c>
      <c r="N26" s="7">
        <v>2.0000000000000001E-4</v>
      </c>
      <c r="O26" s="5">
        <v>121</v>
      </c>
      <c r="P26" s="7">
        <v>2.0000000000000001E-4</v>
      </c>
      <c r="Q26" s="6">
        <v>46311</v>
      </c>
    </row>
    <row r="27" spans="1:17" ht="55.8" thickBot="1" x14ac:dyDescent="0.35">
      <c r="A27" s="9" t="s">
        <v>90</v>
      </c>
      <c r="B27" s="9" t="s">
        <v>408</v>
      </c>
      <c r="C27" s="9" t="s">
        <v>18</v>
      </c>
      <c r="D27" s="10">
        <v>46304</v>
      </c>
      <c r="E27" s="9" t="s">
        <v>68</v>
      </c>
      <c r="F27" s="9">
        <v>99.059313990000007</v>
      </c>
      <c r="G27" s="11">
        <v>-1.14E-2</v>
      </c>
      <c r="H27" s="9"/>
      <c r="I27" s="9"/>
      <c r="J27" s="9"/>
      <c r="K27" s="9"/>
      <c r="L27" s="9"/>
      <c r="M27" s="12">
        <v>10574366.050000001</v>
      </c>
      <c r="N27" s="11">
        <v>2.0000000000000001E-4</v>
      </c>
      <c r="O27" s="9">
        <v>112</v>
      </c>
      <c r="P27" s="11">
        <v>1E-4</v>
      </c>
      <c r="Q27" s="10">
        <v>46311</v>
      </c>
    </row>
    <row r="28" spans="1:17" ht="55.8" thickBot="1" x14ac:dyDescent="0.35">
      <c r="A28" s="5" t="s">
        <v>90</v>
      </c>
      <c r="B28" s="5" t="s">
        <v>409</v>
      </c>
      <c r="C28" s="5" t="s">
        <v>18</v>
      </c>
      <c r="D28" s="6">
        <v>46212</v>
      </c>
      <c r="E28" s="5" t="s">
        <v>60</v>
      </c>
      <c r="F28" s="5">
        <v>100.92502500000001</v>
      </c>
      <c r="G28" s="7">
        <v>-1</v>
      </c>
      <c r="H28" s="5"/>
      <c r="I28" s="5"/>
      <c r="J28" s="5"/>
      <c r="K28" s="5"/>
      <c r="L28" s="5"/>
      <c r="M28" s="8">
        <v>76349196.819999993</v>
      </c>
      <c r="N28" s="7">
        <v>1.1999999999999999E-3</v>
      </c>
      <c r="O28" s="5">
        <v>225</v>
      </c>
      <c r="P28" s="7">
        <v>2.9999999999999997E-4</v>
      </c>
      <c r="Q28" s="6">
        <v>46308</v>
      </c>
    </row>
    <row r="29" spans="1:17" ht="55.8" thickBot="1" x14ac:dyDescent="0.35">
      <c r="A29" s="9" t="s">
        <v>90</v>
      </c>
      <c r="B29" s="9" t="s">
        <v>410</v>
      </c>
      <c r="C29" s="9" t="s">
        <v>18</v>
      </c>
      <c r="D29" s="10">
        <v>46227</v>
      </c>
      <c r="E29" s="9" t="s">
        <v>60</v>
      </c>
      <c r="F29" s="9">
        <v>100.84311599999999</v>
      </c>
      <c r="G29" s="11">
        <v>7.4999999999999997E-3</v>
      </c>
      <c r="H29" s="9"/>
      <c r="I29" s="9"/>
      <c r="J29" s="9"/>
      <c r="K29" s="9"/>
      <c r="L29" s="9"/>
      <c r="M29" s="12">
        <v>51460356.75</v>
      </c>
      <c r="N29" s="11">
        <v>8.0000000000000004E-4</v>
      </c>
      <c r="O29" s="9">
        <v>184</v>
      </c>
      <c r="P29" s="11">
        <v>2.0000000000000001E-4</v>
      </c>
      <c r="Q29" s="10">
        <v>46311</v>
      </c>
    </row>
    <row r="30" spans="1:17" ht="55.8" thickBot="1" x14ac:dyDescent="0.35">
      <c r="A30" s="5" t="s">
        <v>90</v>
      </c>
      <c r="B30" s="5" t="s">
        <v>411</v>
      </c>
      <c r="C30" s="5" t="s">
        <v>18</v>
      </c>
      <c r="D30" s="6">
        <v>46247</v>
      </c>
      <c r="E30" s="5" t="s">
        <v>60</v>
      </c>
      <c r="F30" s="5">
        <v>100.636647</v>
      </c>
      <c r="G30" s="7">
        <v>5.3E-3</v>
      </c>
      <c r="H30" s="5"/>
      <c r="I30" s="5"/>
      <c r="J30" s="5"/>
      <c r="K30" s="5"/>
      <c r="L30" s="5"/>
      <c r="M30" s="8">
        <v>48688613.079999998</v>
      </c>
      <c r="N30" s="7">
        <v>6.9999999999999999E-4</v>
      </c>
      <c r="O30" s="5">
        <v>189</v>
      </c>
      <c r="P30" s="7">
        <v>2.0000000000000001E-4</v>
      </c>
      <c r="Q30" s="6">
        <v>46311</v>
      </c>
    </row>
    <row r="31" spans="1:17" ht="55.8" thickBot="1" x14ac:dyDescent="0.35">
      <c r="A31" s="9" t="s">
        <v>90</v>
      </c>
      <c r="B31" s="9" t="s">
        <v>412</v>
      </c>
      <c r="C31" s="9" t="s">
        <v>18</v>
      </c>
      <c r="D31" s="10">
        <v>46266</v>
      </c>
      <c r="E31" s="9" t="s">
        <v>60</v>
      </c>
      <c r="F31" s="9">
        <v>100.489482</v>
      </c>
      <c r="G31" s="11">
        <v>3.8E-3</v>
      </c>
      <c r="H31" s="9"/>
      <c r="I31" s="9"/>
      <c r="J31" s="9"/>
      <c r="K31" s="9"/>
      <c r="L31" s="9"/>
      <c r="M31" s="12">
        <v>54547353.409999996</v>
      </c>
      <c r="N31" s="11">
        <v>8.0000000000000004E-4</v>
      </c>
      <c r="O31" s="9">
        <v>176</v>
      </c>
      <c r="P31" s="11">
        <v>2.0000000000000001E-4</v>
      </c>
      <c r="Q31" s="10">
        <v>46311</v>
      </c>
    </row>
    <row r="32" spans="1:17" ht="55.8" thickBot="1" x14ac:dyDescent="0.35">
      <c r="A32" s="5" t="s">
        <v>90</v>
      </c>
      <c r="B32" s="5" t="s">
        <v>413</v>
      </c>
      <c r="C32" s="5" t="s">
        <v>18</v>
      </c>
      <c r="D32" s="6">
        <v>46281</v>
      </c>
      <c r="E32" s="5" t="s">
        <v>60</v>
      </c>
      <c r="F32" s="5">
        <v>100.34779399999999</v>
      </c>
      <c r="G32" s="7">
        <v>2.5000000000000001E-3</v>
      </c>
      <c r="H32" s="5"/>
      <c r="I32" s="5"/>
      <c r="J32" s="5"/>
      <c r="K32" s="5"/>
      <c r="L32" s="5"/>
      <c r="M32" s="8">
        <v>62597550.869999997</v>
      </c>
      <c r="N32" s="7">
        <v>1E-3</v>
      </c>
      <c r="O32" s="5">
        <v>174</v>
      </c>
      <c r="P32" s="7">
        <v>2.0000000000000001E-4</v>
      </c>
      <c r="Q32" s="6">
        <v>46311</v>
      </c>
    </row>
    <row r="33" spans="1:17" ht="55.8" thickBot="1" x14ac:dyDescent="0.35">
      <c r="A33" s="9" t="s">
        <v>90</v>
      </c>
      <c r="B33" s="9" t="s">
        <v>414</v>
      </c>
      <c r="C33" s="9" t="s">
        <v>18</v>
      </c>
      <c r="D33" s="10">
        <v>46300</v>
      </c>
      <c r="E33" s="9" t="s">
        <v>60</v>
      </c>
      <c r="F33" s="9">
        <v>100.200215</v>
      </c>
      <c r="G33" s="11">
        <v>1E-3</v>
      </c>
      <c r="H33" s="9"/>
      <c r="I33" s="9"/>
      <c r="J33" s="9"/>
      <c r="K33" s="9"/>
      <c r="L33" s="9"/>
      <c r="M33" s="12">
        <v>57923218.850000001</v>
      </c>
      <c r="N33" s="11">
        <v>8.9999999999999998E-4</v>
      </c>
      <c r="O33" s="9">
        <v>182</v>
      </c>
      <c r="P33" s="11">
        <v>2.0000000000000001E-4</v>
      </c>
      <c r="Q33" s="10">
        <v>46311</v>
      </c>
    </row>
    <row r="34" spans="1:17" ht="55.8" thickBot="1" x14ac:dyDescent="0.35">
      <c r="A34" s="5" t="s">
        <v>90</v>
      </c>
      <c r="B34" s="5" t="s">
        <v>415</v>
      </c>
      <c r="C34" s="5" t="s">
        <v>18</v>
      </c>
      <c r="D34" s="6">
        <v>46177</v>
      </c>
      <c r="E34" s="5" t="s">
        <v>60</v>
      </c>
      <c r="F34" s="5">
        <v>100.942376</v>
      </c>
      <c r="G34" s="7">
        <v>-1</v>
      </c>
      <c r="H34" s="5"/>
      <c r="I34" s="5"/>
      <c r="J34" s="5"/>
      <c r="K34" s="5"/>
      <c r="L34" s="5"/>
      <c r="M34" s="5">
        <v>-0.11</v>
      </c>
      <c r="N34" s="7">
        <v>0</v>
      </c>
      <c r="O34" s="5">
        <v>1</v>
      </c>
      <c r="P34" s="7">
        <v>0</v>
      </c>
      <c r="Q34" s="6">
        <v>46274</v>
      </c>
    </row>
    <row r="35" spans="1:17" ht="55.8" thickBot="1" x14ac:dyDescent="0.35">
      <c r="A35" s="9" t="s">
        <v>90</v>
      </c>
      <c r="B35" s="9" t="s">
        <v>416</v>
      </c>
      <c r="C35" s="9" t="s">
        <v>18</v>
      </c>
      <c r="D35" s="10">
        <v>46195</v>
      </c>
      <c r="E35" s="9" t="s">
        <v>60</v>
      </c>
      <c r="F35" s="9">
        <v>100.939402</v>
      </c>
      <c r="G35" s="11">
        <v>-1</v>
      </c>
      <c r="H35" s="9"/>
      <c r="I35" s="9"/>
      <c r="J35" s="9"/>
      <c r="K35" s="9"/>
      <c r="L35" s="9"/>
      <c r="M35" s="12">
        <v>62394371.960000001</v>
      </c>
      <c r="N35" s="11">
        <v>8.9999999999999998E-4</v>
      </c>
      <c r="O35" s="9">
        <v>190</v>
      </c>
      <c r="P35" s="11">
        <v>2.9999999999999997E-4</v>
      </c>
      <c r="Q35" s="10">
        <v>46289</v>
      </c>
    </row>
    <row r="36" spans="1:17" ht="28.2" thickBot="1" x14ac:dyDescent="0.35">
      <c r="A36" s="5" t="s">
        <v>90</v>
      </c>
      <c r="B36" s="5" t="s">
        <v>92</v>
      </c>
      <c r="C36" s="5" t="s">
        <v>31</v>
      </c>
      <c r="D36" s="6">
        <v>46212</v>
      </c>
      <c r="E36" s="5" t="s">
        <v>68</v>
      </c>
      <c r="F36" s="5">
        <v>101.5318</v>
      </c>
      <c r="G36" s="7">
        <v>1.2500000000000001E-2</v>
      </c>
      <c r="H36" s="5"/>
      <c r="I36" s="5"/>
      <c r="J36" s="5"/>
      <c r="K36" s="5"/>
      <c r="L36" s="5"/>
      <c r="M36" s="8">
        <v>22253197.579999998</v>
      </c>
      <c r="N36" s="7">
        <v>2.9999999999999997E-4</v>
      </c>
      <c r="O36" s="5">
        <v>60</v>
      </c>
      <c r="P36" s="7">
        <v>1E-4</v>
      </c>
      <c r="Q36" s="6">
        <v>46311</v>
      </c>
    </row>
    <row r="37" spans="1:17" ht="28.2" thickBot="1" x14ac:dyDescent="0.35">
      <c r="A37" s="9" t="s">
        <v>90</v>
      </c>
      <c r="B37" s="9" t="s">
        <v>93</v>
      </c>
      <c r="C37" s="9" t="s">
        <v>31</v>
      </c>
      <c r="D37" s="10">
        <v>46219</v>
      </c>
      <c r="E37" s="9" t="s">
        <v>68</v>
      </c>
      <c r="F37" s="9">
        <v>101.30029999999999</v>
      </c>
      <c r="G37" s="11">
        <v>1.11E-2</v>
      </c>
      <c r="H37" s="9"/>
      <c r="I37" s="9"/>
      <c r="J37" s="9"/>
      <c r="K37" s="9"/>
      <c r="L37" s="9"/>
      <c r="M37" s="12">
        <v>31470173.300000001</v>
      </c>
      <c r="N37" s="11">
        <v>5.0000000000000001E-4</v>
      </c>
      <c r="O37" s="9">
        <v>170</v>
      </c>
      <c r="P37" s="11">
        <v>2.0000000000000001E-4</v>
      </c>
      <c r="Q37" s="10">
        <v>46311</v>
      </c>
    </row>
    <row r="38" spans="1:17" ht="28.2" thickBot="1" x14ac:dyDescent="0.35">
      <c r="A38" s="5" t="s">
        <v>90</v>
      </c>
      <c r="B38" s="5" t="s">
        <v>94</v>
      </c>
      <c r="C38" s="5" t="s">
        <v>31</v>
      </c>
      <c r="D38" s="6">
        <v>46245</v>
      </c>
      <c r="E38" s="5" t="s">
        <v>68</v>
      </c>
      <c r="F38" s="5">
        <v>100.99290000000001</v>
      </c>
      <c r="G38" s="7">
        <v>7.4000000000000003E-3</v>
      </c>
      <c r="H38" s="5"/>
      <c r="I38" s="5"/>
      <c r="J38" s="5"/>
      <c r="K38" s="5"/>
      <c r="L38" s="5"/>
      <c r="M38" s="8">
        <v>30492386.550000001</v>
      </c>
      <c r="N38" s="7">
        <v>5.0000000000000001E-4</v>
      </c>
      <c r="O38" s="5">
        <v>151</v>
      </c>
      <c r="P38" s="7">
        <v>2.0000000000000001E-4</v>
      </c>
      <c r="Q38" s="6">
        <v>46311</v>
      </c>
    </row>
    <row r="39" spans="1:17" ht="28.2" thickBot="1" x14ac:dyDescent="0.35">
      <c r="A39" s="9" t="s">
        <v>90</v>
      </c>
      <c r="B39" s="9" t="s">
        <v>95</v>
      </c>
      <c r="C39" s="9" t="s">
        <v>31</v>
      </c>
      <c r="D39" s="10">
        <v>46289</v>
      </c>
      <c r="E39" s="9" t="s">
        <v>68</v>
      </c>
      <c r="F39" s="9">
        <v>100.5454</v>
      </c>
      <c r="G39" s="11">
        <v>2E-3</v>
      </c>
      <c r="H39" s="9"/>
      <c r="I39" s="9"/>
      <c r="J39" s="9"/>
      <c r="K39" s="9"/>
      <c r="L39" s="9"/>
      <c r="M39" s="12">
        <v>30255206.280000001</v>
      </c>
      <c r="N39" s="11">
        <v>5.0000000000000001E-4</v>
      </c>
      <c r="O39" s="9">
        <v>161</v>
      </c>
      <c r="P39" s="11">
        <v>2.0000000000000001E-4</v>
      </c>
      <c r="Q39" s="10">
        <v>46311</v>
      </c>
    </row>
    <row r="40" spans="1:17" ht="28.2" thickBot="1" x14ac:dyDescent="0.35">
      <c r="A40" s="5" t="s">
        <v>90</v>
      </c>
      <c r="B40" s="5" t="s">
        <v>417</v>
      </c>
      <c r="C40" s="5" t="s">
        <v>31</v>
      </c>
      <c r="D40" s="6">
        <v>46308</v>
      </c>
      <c r="E40" s="5" t="s">
        <v>68</v>
      </c>
      <c r="F40" s="5">
        <v>100.1895</v>
      </c>
      <c r="G40" s="7">
        <v>-5.0000000000000001E-4</v>
      </c>
      <c r="H40" s="5"/>
      <c r="I40" s="5"/>
      <c r="J40" s="5"/>
      <c r="K40" s="5"/>
      <c r="L40" s="5"/>
      <c r="M40" s="8">
        <v>32025942.09</v>
      </c>
      <c r="N40" s="7">
        <v>5.0000000000000001E-4</v>
      </c>
      <c r="O40" s="5">
        <v>146</v>
      </c>
      <c r="P40" s="7">
        <v>2.0000000000000001E-4</v>
      </c>
      <c r="Q40" s="6">
        <v>46311</v>
      </c>
    </row>
    <row r="41" spans="1:17" ht="69.599999999999994" thickBot="1" x14ac:dyDescent="0.35">
      <c r="A41" s="9" t="s">
        <v>96</v>
      </c>
      <c r="B41" s="9" t="s">
        <v>97</v>
      </c>
      <c r="C41" s="9" t="s">
        <v>18</v>
      </c>
      <c r="D41" s="10">
        <v>39618</v>
      </c>
      <c r="E41" s="9" t="s">
        <v>68</v>
      </c>
      <c r="F41" s="9">
        <v>234.47231966000001</v>
      </c>
      <c r="G41" s="11">
        <v>0.2019</v>
      </c>
      <c r="H41" s="11">
        <v>0.2258</v>
      </c>
      <c r="I41" s="11">
        <v>8.5300000000000001E-2</v>
      </c>
      <c r="J41" s="11">
        <v>0.15609999999999999</v>
      </c>
      <c r="K41" s="11">
        <v>-7.0000000000000001E-3</v>
      </c>
      <c r="L41" s="11">
        <v>1.44E-2</v>
      </c>
      <c r="M41" s="12">
        <v>160600674.31999999</v>
      </c>
      <c r="N41" s="11">
        <v>2.3999999999999998E-3</v>
      </c>
      <c r="O41" s="12">
        <v>2843</v>
      </c>
      <c r="P41" s="11">
        <v>3.8E-3</v>
      </c>
      <c r="Q41" s="10">
        <v>46311</v>
      </c>
    </row>
    <row r="42" spans="1:17" ht="69.599999999999994" thickBot="1" x14ac:dyDescent="0.35">
      <c r="A42" s="5" t="s">
        <v>98</v>
      </c>
      <c r="B42" s="5" t="s">
        <v>99</v>
      </c>
      <c r="C42" s="5" t="s">
        <v>18</v>
      </c>
      <c r="D42" s="6">
        <v>39150</v>
      </c>
      <c r="E42" s="5" t="s">
        <v>60</v>
      </c>
      <c r="F42" s="5">
        <v>195.09673699999999</v>
      </c>
      <c r="G42" s="7">
        <v>0.13819999999999999</v>
      </c>
      <c r="H42" s="7">
        <v>0.19320000000000001</v>
      </c>
      <c r="I42" s="7">
        <v>5.67E-2</v>
      </c>
      <c r="J42" s="7">
        <v>0.12809999999999999</v>
      </c>
      <c r="K42" s="7">
        <v>-3.5999999999999999E-3</v>
      </c>
      <c r="L42" s="7">
        <v>-3.1699999999999999E-2</v>
      </c>
      <c r="M42" s="8">
        <v>102613847.27</v>
      </c>
      <c r="N42" s="7">
        <v>1.6000000000000001E-3</v>
      </c>
      <c r="O42" s="8">
        <v>1391</v>
      </c>
      <c r="P42" s="7">
        <v>1.8E-3</v>
      </c>
      <c r="Q42" s="6">
        <v>46311</v>
      </c>
    </row>
    <row r="43" spans="1:17" ht="55.8" thickBot="1" x14ac:dyDescent="0.35">
      <c r="A43" s="9" t="s">
        <v>98</v>
      </c>
      <c r="B43" s="9" t="s">
        <v>100</v>
      </c>
      <c r="C43" s="9" t="s">
        <v>31</v>
      </c>
      <c r="D43" s="10">
        <v>35064</v>
      </c>
      <c r="E43" s="9" t="s">
        <v>60</v>
      </c>
      <c r="F43" s="9">
        <v>92.099400000000003</v>
      </c>
      <c r="G43" s="11">
        <v>0.114</v>
      </c>
      <c r="H43" s="11">
        <v>0.21970000000000001</v>
      </c>
      <c r="I43" s="11">
        <v>4.7300000000000002E-2</v>
      </c>
      <c r="J43" s="11">
        <v>0.12570000000000001</v>
      </c>
      <c r="K43" s="11">
        <v>-2.2000000000000001E-3</v>
      </c>
      <c r="L43" s="11">
        <v>-3.8800000000000001E-2</v>
      </c>
      <c r="M43" s="12">
        <v>66582018.619999997</v>
      </c>
      <c r="N43" s="11">
        <v>1E-3</v>
      </c>
      <c r="O43" s="12">
        <v>1467</v>
      </c>
      <c r="P43" s="11">
        <v>1.9E-3</v>
      </c>
      <c r="Q43" s="10">
        <v>46311</v>
      </c>
    </row>
    <row r="44" spans="1:17" ht="69.599999999999994" thickBot="1" x14ac:dyDescent="0.35">
      <c r="A44" s="5" t="s">
        <v>101</v>
      </c>
      <c r="B44" s="5" t="s">
        <v>102</v>
      </c>
      <c r="C44" s="5" t="s">
        <v>18</v>
      </c>
      <c r="D44" s="6">
        <v>39615</v>
      </c>
      <c r="E44" s="5" t="s">
        <v>68</v>
      </c>
      <c r="F44" s="5">
        <v>186.10984214000001</v>
      </c>
      <c r="G44" s="7">
        <v>5.8999999999999997E-2</v>
      </c>
      <c r="H44" s="7">
        <v>0.1033</v>
      </c>
      <c r="I44" s="7">
        <v>6.1100000000000002E-2</v>
      </c>
      <c r="J44" s="7">
        <v>8.8099999999999998E-2</v>
      </c>
      <c r="K44" s="7">
        <v>-2.0000000000000001E-4</v>
      </c>
      <c r="L44" s="7">
        <v>-2.47E-2</v>
      </c>
      <c r="M44" s="8">
        <v>58543404.079999998</v>
      </c>
      <c r="N44" s="7">
        <v>8.9999999999999998E-4</v>
      </c>
      <c r="O44" s="8">
        <v>1344</v>
      </c>
      <c r="P44" s="7">
        <v>1.8E-3</v>
      </c>
      <c r="Q44" s="6">
        <v>46311</v>
      </c>
    </row>
    <row r="45" spans="1:17" ht="55.8" thickBot="1" x14ac:dyDescent="0.35">
      <c r="A45" s="9" t="s">
        <v>103</v>
      </c>
      <c r="B45" s="9" t="s">
        <v>104</v>
      </c>
      <c r="C45" s="9" t="s">
        <v>18</v>
      </c>
      <c r="D45" s="10">
        <v>37513</v>
      </c>
      <c r="E45" s="9" t="s">
        <v>60</v>
      </c>
      <c r="F45" s="9">
        <v>66.090913999999998</v>
      </c>
      <c r="G45" s="11">
        <v>5.9400000000000001E-2</v>
      </c>
      <c r="H45" s="11">
        <v>9.7199999999999995E-2</v>
      </c>
      <c r="I45" s="11">
        <v>3.5400000000000001E-2</v>
      </c>
      <c r="J45" s="11">
        <v>7.6600000000000001E-2</v>
      </c>
      <c r="K45" s="11">
        <v>-1.66E-2</v>
      </c>
      <c r="L45" s="11">
        <v>-2.29E-2</v>
      </c>
      <c r="M45" s="12">
        <v>81825979.25</v>
      </c>
      <c r="N45" s="11">
        <v>1.1999999999999999E-3</v>
      </c>
      <c r="O45" s="9">
        <v>846</v>
      </c>
      <c r="P45" s="11">
        <v>1.1000000000000001E-3</v>
      </c>
      <c r="Q45" s="10">
        <v>46311</v>
      </c>
    </row>
    <row r="46" spans="1:17" ht="69.599999999999994" thickBot="1" x14ac:dyDescent="0.35">
      <c r="A46" s="5" t="s">
        <v>105</v>
      </c>
      <c r="B46" s="5" t="s">
        <v>106</v>
      </c>
      <c r="C46" s="5" t="s">
        <v>107</v>
      </c>
      <c r="D46" s="6">
        <v>45908</v>
      </c>
      <c r="E46" s="5" t="s">
        <v>60</v>
      </c>
      <c r="F46" s="5">
        <v>0</v>
      </c>
      <c r="G46" s="5"/>
      <c r="H46" s="5"/>
      <c r="I46" s="5"/>
      <c r="J46" s="5"/>
      <c r="K46" s="5"/>
      <c r="L46" s="5"/>
      <c r="M46" s="8">
        <v>26906749.309999999</v>
      </c>
      <c r="N46" s="7">
        <v>4.0000000000000002E-4</v>
      </c>
      <c r="O46" s="5">
        <v>26</v>
      </c>
      <c r="P46" s="7">
        <v>0</v>
      </c>
      <c r="Q46" s="6">
        <v>46311</v>
      </c>
    </row>
    <row r="47" spans="1:17" ht="83.4" thickBot="1" x14ac:dyDescent="0.35">
      <c r="A47" s="9" t="s">
        <v>105</v>
      </c>
      <c r="B47" s="9" t="s">
        <v>108</v>
      </c>
      <c r="C47" s="9" t="s">
        <v>107</v>
      </c>
      <c r="D47" s="10">
        <v>45908</v>
      </c>
      <c r="E47" s="9" t="s">
        <v>60</v>
      </c>
      <c r="F47" s="9">
        <v>999.13</v>
      </c>
      <c r="G47" s="11">
        <v>-1.6E-2</v>
      </c>
      <c r="H47" s="11">
        <v>1.54E-2</v>
      </c>
      <c r="I47" s="9"/>
      <c r="J47" s="9"/>
      <c r="K47" s="9"/>
      <c r="L47" s="9"/>
      <c r="M47" s="9"/>
      <c r="N47" s="9"/>
      <c r="O47" s="9">
        <v>19</v>
      </c>
      <c r="P47" s="11">
        <v>0</v>
      </c>
      <c r="Q47" s="10">
        <v>46311</v>
      </c>
    </row>
    <row r="48" spans="1:17" ht="83.4" thickBot="1" x14ac:dyDescent="0.35">
      <c r="A48" s="5" t="s">
        <v>105</v>
      </c>
      <c r="B48" s="5" t="s">
        <v>109</v>
      </c>
      <c r="C48" s="5" t="s">
        <v>107</v>
      </c>
      <c r="D48" s="6">
        <v>45908</v>
      </c>
      <c r="E48" s="5" t="s">
        <v>60</v>
      </c>
      <c r="F48" s="5">
        <v>973.36</v>
      </c>
      <c r="G48" s="5"/>
      <c r="H48" s="5"/>
      <c r="I48" s="5"/>
      <c r="J48" s="5"/>
      <c r="K48" s="5"/>
      <c r="L48" s="5"/>
      <c r="M48" s="5"/>
      <c r="N48" s="5"/>
      <c r="O48" s="5">
        <v>3</v>
      </c>
      <c r="P48" s="7">
        <v>0</v>
      </c>
      <c r="Q48" s="6">
        <v>46311</v>
      </c>
    </row>
    <row r="49" spans="1:17" ht="83.4" thickBot="1" x14ac:dyDescent="0.35">
      <c r="A49" s="9" t="s">
        <v>105</v>
      </c>
      <c r="B49" s="9" t="s">
        <v>110</v>
      </c>
      <c r="C49" s="9" t="s">
        <v>107</v>
      </c>
      <c r="D49" s="10">
        <v>45908</v>
      </c>
      <c r="E49" s="9" t="s">
        <v>60</v>
      </c>
      <c r="F49" s="9">
        <v>996.4</v>
      </c>
      <c r="G49" s="11">
        <v>-1.6799999999999999E-2</v>
      </c>
      <c r="H49" s="9"/>
      <c r="I49" s="9"/>
      <c r="J49" s="9"/>
      <c r="K49" s="9"/>
      <c r="L49" s="9"/>
      <c r="M49" s="9"/>
      <c r="N49" s="9"/>
      <c r="O49" s="9">
        <v>4</v>
      </c>
      <c r="P49" s="11">
        <v>0</v>
      </c>
      <c r="Q49" s="10">
        <v>46311</v>
      </c>
    </row>
    <row r="50" spans="1:17" ht="55.8" thickBot="1" x14ac:dyDescent="0.35">
      <c r="A50" s="5" t="s">
        <v>111</v>
      </c>
      <c r="B50" s="5" t="s">
        <v>5</v>
      </c>
      <c r="C50" s="5" t="s">
        <v>17</v>
      </c>
      <c r="D50" s="6">
        <v>35720</v>
      </c>
      <c r="E50" s="5" t="s">
        <v>68</v>
      </c>
      <c r="F50" s="5">
        <v>411.62102847</v>
      </c>
      <c r="G50" s="7">
        <v>2.2800000000000001E-2</v>
      </c>
      <c r="H50" s="7">
        <v>7.85E-2</v>
      </c>
      <c r="I50" s="7">
        <v>6.1699999999999998E-2</v>
      </c>
      <c r="J50" s="7">
        <v>0.1032</v>
      </c>
      <c r="K50" s="7">
        <v>5.5999999999999999E-3</v>
      </c>
      <c r="L50" s="7">
        <v>-4.8599999999999997E-2</v>
      </c>
      <c r="M50" s="8">
        <v>438285237.41000003</v>
      </c>
      <c r="N50" s="7">
        <v>6.7000000000000002E-3</v>
      </c>
      <c r="O50" s="8">
        <v>8109</v>
      </c>
      <c r="P50" s="7">
        <v>1.0699999999999999E-2</v>
      </c>
      <c r="Q50" s="6">
        <v>46311</v>
      </c>
    </row>
    <row r="51" spans="1:17" ht="83.4" thickBot="1" x14ac:dyDescent="0.35">
      <c r="A51" s="9" t="s">
        <v>111</v>
      </c>
      <c r="B51" s="9" t="s">
        <v>6</v>
      </c>
      <c r="C51" s="9" t="s">
        <v>18</v>
      </c>
      <c r="D51" s="10">
        <v>39150</v>
      </c>
      <c r="E51" s="9" t="s">
        <v>68</v>
      </c>
      <c r="F51" s="9">
        <v>0</v>
      </c>
      <c r="G51" s="11">
        <v>-1</v>
      </c>
      <c r="H51" s="11">
        <v>6.7299999999999999E-2</v>
      </c>
      <c r="I51" s="11">
        <v>7.22E-2</v>
      </c>
      <c r="J51" s="11">
        <v>9.1700000000000004E-2</v>
      </c>
      <c r="K51" s="11">
        <v>2.3E-3</v>
      </c>
      <c r="L51" s="11">
        <v>-3.4299999999999997E-2</v>
      </c>
      <c r="M51" s="12">
        <v>758788918.42999995</v>
      </c>
      <c r="N51" s="11">
        <v>1.1599999999999999E-2</v>
      </c>
      <c r="O51" s="12">
        <v>8001</v>
      </c>
      <c r="P51" s="11">
        <v>1.06E-2</v>
      </c>
      <c r="Q51" s="10">
        <v>46311</v>
      </c>
    </row>
    <row r="52" spans="1:17" ht="69.599999999999994" thickBot="1" x14ac:dyDescent="0.35">
      <c r="A52" s="5" t="s">
        <v>111</v>
      </c>
      <c r="B52" s="5" t="s">
        <v>112</v>
      </c>
      <c r="C52" s="5" t="s">
        <v>18</v>
      </c>
      <c r="D52" s="6">
        <v>39150</v>
      </c>
      <c r="E52" s="5" t="s">
        <v>68</v>
      </c>
      <c r="F52" s="5">
        <v>227.19794242</v>
      </c>
      <c r="G52" s="5"/>
      <c r="H52" s="5"/>
      <c r="I52" s="5"/>
      <c r="J52" s="5"/>
      <c r="K52" s="5"/>
      <c r="L52" s="5"/>
      <c r="M52" s="5"/>
      <c r="N52" s="5"/>
      <c r="O52" s="8">
        <v>7905</v>
      </c>
      <c r="P52" s="7">
        <v>1.04E-2</v>
      </c>
      <c r="Q52" s="6">
        <v>46311</v>
      </c>
    </row>
    <row r="53" spans="1:17" ht="69.599999999999994" thickBot="1" x14ac:dyDescent="0.35">
      <c r="A53" s="9" t="s">
        <v>111</v>
      </c>
      <c r="B53" s="9" t="s">
        <v>113</v>
      </c>
      <c r="C53" s="9" t="s">
        <v>18</v>
      </c>
      <c r="D53" s="10">
        <v>39150</v>
      </c>
      <c r="E53" s="9" t="s">
        <v>68</v>
      </c>
      <c r="F53" s="9">
        <v>227.19794235000001</v>
      </c>
      <c r="G53" s="9"/>
      <c r="H53" s="9"/>
      <c r="I53" s="9"/>
      <c r="J53" s="9"/>
      <c r="K53" s="9"/>
      <c r="L53" s="9"/>
      <c r="M53" s="9"/>
      <c r="N53" s="9"/>
      <c r="O53" s="9">
        <v>96</v>
      </c>
      <c r="P53" s="11">
        <v>1E-4</v>
      </c>
      <c r="Q53" s="10">
        <v>46311</v>
      </c>
    </row>
    <row r="54" spans="1:17" ht="55.8" thickBot="1" x14ac:dyDescent="0.35">
      <c r="A54" s="5" t="s">
        <v>111</v>
      </c>
      <c r="B54" s="5" t="s">
        <v>7</v>
      </c>
      <c r="C54" s="5" t="s">
        <v>31</v>
      </c>
      <c r="D54" s="6">
        <v>37329</v>
      </c>
      <c r="E54" s="5" t="s">
        <v>68</v>
      </c>
      <c r="F54" s="5">
        <v>234.77170000000001</v>
      </c>
      <c r="G54" s="7">
        <v>1.4999999999999999E-2</v>
      </c>
      <c r="H54" s="7">
        <v>6.1699999999999998E-2</v>
      </c>
      <c r="I54" s="7">
        <v>6.4000000000000001E-2</v>
      </c>
      <c r="J54" s="7">
        <v>9.2600000000000002E-2</v>
      </c>
      <c r="K54" s="7">
        <v>-6.7500000000000004E-2</v>
      </c>
      <c r="L54" s="7">
        <v>-3.8600000000000002E-2</v>
      </c>
      <c r="M54" s="8">
        <v>86245647.939999998</v>
      </c>
      <c r="N54" s="7">
        <v>1.2999999999999999E-3</v>
      </c>
      <c r="O54" s="8">
        <v>4285</v>
      </c>
      <c r="P54" s="7">
        <v>5.7000000000000002E-3</v>
      </c>
      <c r="Q54" s="6">
        <v>46311</v>
      </c>
    </row>
    <row r="55" spans="1:17" ht="55.8" thickBot="1" x14ac:dyDescent="0.35">
      <c r="A55" s="9" t="s">
        <v>111</v>
      </c>
      <c r="B55" s="9" t="s">
        <v>8</v>
      </c>
      <c r="C55" s="9" t="s">
        <v>20</v>
      </c>
      <c r="D55" s="10">
        <v>38856</v>
      </c>
      <c r="E55" s="9" t="s">
        <v>68</v>
      </c>
      <c r="F55" s="9">
        <v>0</v>
      </c>
      <c r="G55" s="9"/>
      <c r="H55" s="11">
        <v>-1</v>
      </c>
      <c r="I55" s="11">
        <v>6.3299999999999995E-2</v>
      </c>
      <c r="J55" s="11">
        <v>7.8600000000000003E-2</v>
      </c>
      <c r="K55" s="11">
        <v>1.32E-2</v>
      </c>
      <c r="L55" s="11">
        <v>-2.5600000000000001E-2</v>
      </c>
      <c r="M55" s="12">
        <v>117733913.66</v>
      </c>
      <c r="N55" s="11">
        <v>1.8E-3</v>
      </c>
      <c r="O55" s="9">
        <v>832</v>
      </c>
      <c r="P55" s="11">
        <v>1.1000000000000001E-3</v>
      </c>
      <c r="Q55" s="10">
        <v>46311</v>
      </c>
    </row>
    <row r="56" spans="1:17" ht="69.599999999999994" thickBot="1" x14ac:dyDescent="0.35">
      <c r="A56" s="5" t="s">
        <v>111</v>
      </c>
      <c r="B56" s="5" t="s">
        <v>114</v>
      </c>
      <c r="C56" s="5" t="s">
        <v>20</v>
      </c>
      <c r="D56" s="6">
        <v>38856</v>
      </c>
      <c r="E56" s="5" t="s">
        <v>68</v>
      </c>
      <c r="F56" s="5">
        <v>243.9394648</v>
      </c>
      <c r="G56" s="7">
        <v>2.0299999999999999E-2</v>
      </c>
      <c r="H56" s="5"/>
      <c r="I56" s="5"/>
      <c r="J56" s="5"/>
      <c r="K56" s="5"/>
      <c r="L56" s="5"/>
      <c r="M56" s="5"/>
      <c r="N56" s="5"/>
      <c r="O56" s="5">
        <v>8</v>
      </c>
      <c r="P56" s="7">
        <v>0</v>
      </c>
      <c r="Q56" s="6">
        <v>46311</v>
      </c>
    </row>
    <row r="57" spans="1:17" ht="69.599999999999994" thickBot="1" x14ac:dyDescent="0.35">
      <c r="A57" s="9" t="s">
        <v>111</v>
      </c>
      <c r="B57" s="9" t="s">
        <v>115</v>
      </c>
      <c r="C57" s="9" t="s">
        <v>20</v>
      </c>
      <c r="D57" s="10">
        <v>38856</v>
      </c>
      <c r="E57" s="9" t="s">
        <v>68</v>
      </c>
      <c r="F57" s="9">
        <v>105.9562804</v>
      </c>
      <c r="G57" s="11">
        <v>1.89E-2</v>
      </c>
      <c r="H57" s="9"/>
      <c r="I57" s="9"/>
      <c r="J57" s="9"/>
      <c r="K57" s="9"/>
      <c r="L57" s="9"/>
      <c r="M57" s="9"/>
      <c r="N57" s="9"/>
      <c r="O57" s="9">
        <v>825</v>
      </c>
      <c r="P57" s="11">
        <v>1.1000000000000001E-3</v>
      </c>
      <c r="Q57" s="10">
        <v>46311</v>
      </c>
    </row>
    <row r="58" spans="1:17" ht="55.8" thickBot="1" x14ac:dyDescent="0.35">
      <c r="A58" s="5" t="s">
        <v>116</v>
      </c>
      <c r="B58" s="5" t="s">
        <v>117</v>
      </c>
      <c r="C58" s="5" t="s">
        <v>17</v>
      </c>
      <c r="D58" s="6">
        <v>35724</v>
      </c>
      <c r="E58" s="5" t="s">
        <v>60</v>
      </c>
      <c r="F58" s="5">
        <v>222.66846794</v>
      </c>
      <c r="G58" s="7">
        <v>6.7000000000000002E-3</v>
      </c>
      <c r="H58" s="7">
        <v>7.1900000000000006E-2</v>
      </c>
      <c r="I58" s="7">
        <v>4.8599999999999997E-2</v>
      </c>
      <c r="J58" s="7">
        <v>6.0699999999999997E-2</v>
      </c>
      <c r="K58" s="7">
        <v>-3.6600000000000001E-2</v>
      </c>
      <c r="L58" s="7">
        <v>-2.6800000000000001E-2</v>
      </c>
      <c r="M58" s="8">
        <v>521739213.35000002</v>
      </c>
      <c r="N58" s="7">
        <v>7.9000000000000008E-3</v>
      </c>
      <c r="O58" s="8">
        <v>3153</v>
      </c>
      <c r="P58" s="7">
        <v>4.1999999999999997E-3</v>
      </c>
      <c r="Q58" s="6">
        <v>46311</v>
      </c>
    </row>
    <row r="59" spans="1:17" ht="55.8" thickBot="1" x14ac:dyDescent="0.35">
      <c r="A59" s="9" t="s">
        <v>116</v>
      </c>
      <c r="B59" s="9" t="s">
        <v>118</v>
      </c>
      <c r="C59" s="9" t="s">
        <v>31</v>
      </c>
      <c r="D59" s="10">
        <v>35674</v>
      </c>
      <c r="E59" s="9" t="s">
        <v>60</v>
      </c>
      <c r="F59" s="9">
        <v>118.8357</v>
      </c>
      <c r="G59" s="11">
        <v>2.9999999999999997E-4</v>
      </c>
      <c r="H59" s="11">
        <v>5.0500000000000003E-2</v>
      </c>
      <c r="I59" s="11">
        <v>3.2300000000000002E-2</v>
      </c>
      <c r="J59" s="11">
        <v>3.3099999999999997E-2</v>
      </c>
      <c r="K59" s="11">
        <v>-4.3900000000000002E-2</v>
      </c>
      <c r="L59" s="11">
        <v>-1.4200000000000001E-2</v>
      </c>
      <c r="M59" s="12">
        <v>87105703.069999993</v>
      </c>
      <c r="N59" s="11">
        <v>1.2999999999999999E-3</v>
      </c>
      <c r="O59" s="12">
        <v>3895</v>
      </c>
      <c r="P59" s="11">
        <v>5.1000000000000004E-3</v>
      </c>
      <c r="Q59" s="10">
        <v>46311</v>
      </c>
    </row>
    <row r="60" spans="1:17" ht="42" thickBot="1" x14ac:dyDescent="0.35">
      <c r="A60" s="5" t="s">
        <v>119</v>
      </c>
      <c r="B60" s="5" t="s">
        <v>9</v>
      </c>
      <c r="C60" s="5" t="s">
        <v>17</v>
      </c>
      <c r="D60" s="6">
        <v>39784</v>
      </c>
      <c r="E60" s="5" t="s">
        <v>68</v>
      </c>
      <c r="F60" s="5">
        <v>175.83459361000001</v>
      </c>
      <c r="G60" s="7">
        <v>3.15E-2</v>
      </c>
      <c r="H60" s="7">
        <v>4.1300000000000003E-2</v>
      </c>
      <c r="I60" s="7">
        <v>5.4300000000000001E-2</v>
      </c>
      <c r="J60" s="7">
        <v>7.1300000000000002E-2</v>
      </c>
      <c r="K60" s="7">
        <v>3.7999999999999999E-2</v>
      </c>
      <c r="L60" s="7">
        <v>1E-3</v>
      </c>
      <c r="M60" s="8">
        <v>2705450184.71</v>
      </c>
      <c r="N60" s="7">
        <v>4.1200000000000001E-2</v>
      </c>
      <c r="O60" s="8">
        <v>75059</v>
      </c>
      <c r="P60" s="7">
        <v>9.9199999999999997E-2</v>
      </c>
      <c r="Q60" s="6">
        <v>46311</v>
      </c>
    </row>
    <row r="61" spans="1:17" ht="55.8" thickBot="1" x14ac:dyDescent="0.35">
      <c r="A61" s="9" t="s">
        <v>119</v>
      </c>
      <c r="B61" s="9" t="s">
        <v>10</v>
      </c>
      <c r="C61" s="9" t="s">
        <v>17</v>
      </c>
      <c r="D61" s="10">
        <v>38713</v>
      </c>
      <c r="E61" s="9" t="s">
        <v>68</v>
      </c>
      <c r="F61" s="9">
        <v>215.18728877999999</v>
      </c>
      <c r="G61" s="11">
        <v>3.3000000000000002E-2</v>
      </c>
      <c r="H61" s="11">
        <v>5.1700000000000003E-2</v>
      </c>
      <c r="I61" s="11">
        <v>5.6099999999999997E-2</v>
      </c>
      <c r="J61" s="11">
        <v>7.6799999999999993E-2</v>
      </c>
      <c r="K61" s="11">
        <v>2.7199999999999998E-2</v>
      </c>
      <c r="L61" s="11">
        <v>-1.95E-2</v>
      </c>
      <c r="M61" s="12">
        <v>901603838.59000003</v>
      </c>
      <c r="N61" s="11">
        <v>1.37E-2</v>
      </c>
      <c r="O61" s="12">
        <v>7051</v>
      </c>
      <c r="P61" s="11">
        <v>9.2999999999999992E-3</v>
      </c>
      <c r="Q61" s="10">
        <v>46311</v>
      </c>
    </row>
    <row r="62" spans="1:17" ht="55.8" thickBot="1" x14ac:dyDescent="0.35">
      <c r="A62" s="5" t="s">
        <v>119</v>
      </c>
      <c r="B62" s="5" t="s">
        <v>11</v>
      </c>
      <c r="C62" s="5" t="s">
        <v>17</v>
      </c>
      <c r="D62" s="6">
        <v>43376</v>
      </c>
      <c r="E62" s="5" t="s">
        <v>68</v>
      </c>
      <c r="F62" s="5">
        <v>136.05660689000001</v>
      </c>
      <c r="G62" s="7">
        <v>3.3099999999999997E-2</v>
      </c>
      <c r="H62" s="7">
        <v>4.2700000000000002E-2</v>
      </c>
      <c r="I62" s="7">
        <v>5.57E-2</v>
      </c>
      <c r="J62" s="7">
        <v>7.0800000000000002E-2</v>
      </c>
      <c r="K62" s="7">
        <v>3.44E-2</v>
      </c>
      <c r="L62" s="7">
        <v>1.4E-3</v>
      </c>
      <c r="M62" s="8">
        <v>391665509.10000002</v>
      </c>
      <c r="N62" s="7">
        <v>6.0000000000000001E-3</v>
      </c>
      <c r="O62" s="5">
        <v>614</v>
      </c>
      <c r="P62" s="7">
        <v>8.0000000000000004E-4</v>
      </c>
      <c r="Q62" s="6">
        <v>46311</v>
      </c>
    </row>
    <row r="63" spans="1:17" ht="83.4" thickBot="1" x14ac:dyDescent="0.35">
      <c r="A63" s="9" t="s">
        <v>119</v>
      </c>
      <c r="B63" s="9" t="s">
        <v>12</v>
      </c>
      <c r="C63" s="9" t="s">
        <v>18</v>
      </c>
      <c r="D63" s="10">
        <v>41680</v>
      </c>
      <c r="E63" s="9" t="s">
        <v>68</v>
      </c>
      <c r="F63" s="9">
        <v>0</v>
      </c>
      <c r="G63" s="11">
        <v>-1</v>
      </c>
      <c r="H63" s="11">
        <v>4.7E-2</v>
      </c>
      <c r="I63" s="11">
        <v>6.0199999999999997E-2</v>
      </c>
      <c r="J63" s="11">
        <v>7.5399999999999995E-2</v>
      </c>
      <c r="K63" s="11">
        <v>3.2899999999999999E-2</v>
      </c>
      <c r="L63" s="11">
        <v>-7.6E-3</v>
      </c>
      <c r="M63" s="12">
        <v>1312884105.1199999</v>
      </c>
      <c r="N63" s="11">
        <v>0.02</v>
      </c>
      <c r="O63" s="12">
        <v>13772</v>
      </c>
      <c r="P63" s="11">
        <v>1.8200000000000001E-2</v>
      </c>
      <c r="Q63" s="10">
        <v>46311</v>
      </c>
    </row>
    <row r="64" spans="1:17" ht="83.4" thickBot="1" x14ac:dyDescent="0.35">
      <c r="A64" s="5" t="s">
        <v>119</v>
      </c>
      <c r="B64" s="5" t="s">
        <v>120</v>
      </c>
      <c r="C64" s="5" t="s">
        <v>18</v>
      </c>
      <c r="D64" s="6">
        <v>41680</v>
      </c>
      <c r="E64" s="5" t="s">
        <v>68</v>
      </c>
      <c r="F64" s="5">
        <v>166.77472852</v>
      </c>
      <c r="G64" s="5"/>
      <c r="H64" s="5"/>
      <c r="I64" s="5"/>
      <c r="J64" s="5"/>
      <c r="K64" s="5"/>
      <c r="L64" s="5"/>
      <c r="M64" s="5"/>
      <c r="N64" s="5"/>
      <c r="O64" s="8">
        <v>13610</v>
      </c>
      <c r="P64" s="7">
        <v>1.7999999999999999E-2</v>
      </c>
      <c r="Q64" s="6">
        <v>46311</v>
      </c>
    </row>
    <row r="65" spans="1:17" ht="83.4" thickBot="1" x14ac:dyDescent="0.35">
      <c r="A65" s="9" t="s">
        <v>119</v>
      </c>
      <c r="B65" s="9" t="s">
        <v>121</v>
      </c>
      <c r="C65" s="9" t="s">
        <v>18</v>
      </c>
      <c r="D65" s="10">
        <v>41680</v>
      </c>
      <c r="E65" s="9" t="s">
        <v>68</v>
      </c>
      <c r="F65" s="9">
        <v>166.77472854000001</v>
      </c>
      <c r="G65" s="9"/>
      <c r="H65" s="9"/>
      <c r="I65" s="9"/>
      <c r="J65" s="9"/>
      <c r="K65" s="9"/>
      <c r="L65" s="9"/>
      <c r="M65" s="9"/>
      <c r="N65" s="9"/>
      <c r="O65" s="9">
        <v>162</v>
      </c>
      <c r="P65" s="11">
        <v>2.0000000000000001E-4</v>
      </c>
      <c r="Q65" s="10">
        <v>46311</v>
      </c>
    </row>
    <row r="66" spans="1:17" ht="69.599999999999994" thickBot="1" x14ac:dyDescent="0.35">
      <c r="A66" s="5" t="s">
        <v>119</v>
      </c>
      <c r="B66" s="5" t="s">
        <v>13</v>
      </c>
      <c r="C66" s="5" t="s">
        <v>18</v>
      </c>
      <c r="D66" s="6">
        <v>36622</v>
      </c>
      <c r="E66" s="5" t="s">
        <v>68</v>
      </c>
      <c r="F66" s="5">
        <v>0</v>
      </c>
      <c r="G66" s="7">
        <v>-1</v>
      </c>
      <c r="H66" s="7">
        <v>4.2799999999999998E-2</v>
      </c>
      <c r="I66" s="7">
        <v>5.4899999999999997E-2</v>
      </c>
      <c r="J66" s="7">
        <v>7.2099999999999997E-2</v>
      </c>
      <c r="K66" s="7">
        <v>4.5699999999999998E-2</v>
      </c>
      <c r="L66" s="7">
        <v>2E-3</v>
      </c>
      <c r="M66" s="8">
        <v>3481232200.6300001</v>
      </c>
      <c r="N66" s="7">
        <v>5.2999999999999999E-2</v>
      </c>
      <c r="O66" s="8">
        <v>45788</v>
      </c>
      <c r="P66" s="7">
        <v>6.0499999999999998E-2</v>
      </c>
      <c r="Q66" s="6">
        <v>46311</v>
      </c>
    </row>
    <row r="67" spans="1:17" ht="69.599999999999994" thickBot="1" x14ac:dyDescent="0.35">
      <c r="A67" s="9" t="s">
        <v>119</v>
      </c>
      <c r="B67" s="9" t="s">
        <v>122</v>
      </c>
      <c r="C67" s="9" t="s">
        <v>18</v>
      </c>
      <c r="D67" s="10">
        <v>36622</v>
      </c>
      <c r="E67" s="9" t="s">
        <v>68</v>
      </c>
      <c r="F67" s="9">
        <v>361.75432577999999</v>
      </c>
      <c r="G67" s="9"/>
      <c r="H67" s="9"/>
      <c r="I67" s="9"/>
      <c r="J67" s="9"/>
      <c r="K67" s="9"/>
      <c r="L67" s="9"/>
      <c r="M67" s="9"/>
      <c r="N67" s="9"/>
      <c r="O67" s="12">
        <v>45110</v>
      </c>
      <c r="P67" s="11">
        <v>5.96E-2</v>
      </c>
      <c r="Q67" s="10">
        <v>46311</v>
      </c>
    </row>
    <row r="68" spans="1:17" ht="69.599999999999994" thickBot="1" x14ac:dyDescent="0.35">
      <c r="A68" s="5" t="s">
        <v>119</v>
      </c>
      <c r="B68" s="5" t="s">
        <v>123</v>
      </c>
      <c r="C68" s="5" t="s">
        <v>18</v>
      </c>
      <c r="D68" s="6">
        <v>36622</v>
      </c>
      <c r="E68" s="5" t="s">
        <v>68</v>
      </c>
      <c r="F68" s="5">
        <v>361.76927201000001</v>
      </c>
      <c r="G68" s="5"/>
      <c r="H68" s="5"/>
      <c r="I68" s="5"/>
      <c r="J68" s="5"/>
      <c r="K68" s="5"/>
      <c r="L68" s="5"/>
      <c r="M68" s="5"/>
      <c r="N68" s="5"/>
      <c r="O68" s="5">
        <v>678</v>
      </c>
      <c r="P68" s="7">
        <v>8.9999999999999998E-4</v>
      </c>
      <c r="Q68" s="6">
        <v>46311</v>
      </c>
    </row>
    <row r="69" spans="1:17" ht="42" thickBot="1" x14ac:dyDescent="0.35">
      <c r="A69" s="9" t="s">
        <v>119</v>
      </c>
      <c r="B69" s="9" t="s">
        <v>124</v>
      </c>
      <c r="C69" s="9"/>
      <c r="D69" s="10">
        <v>41486</v>
      </c>
      <c r="E69" s="9" t="s">
        <v>68</v>
      </c>
      <c r="F69" s="9">
        <v>14.69556</v>
      </c>
      <c r="G69" s="11">
        <v>-1</v>
      </c>
      <c r="H69" s="11">
        <v>-0.89890000000000003</v>
      </c>
      <c r="I69" s="11">
        <v>-3.8399999999999997E-2</v>
      </c>
      <c r="J69" s="11">
        <v>7.6999999999999999E-2</v>
      </c>
      <c r="K69" s="11">
        <v>4.9500000000000002E-2</v>
      </c>
      <c r="L69" s="11">
        <v>1.4500000000000001E-2</v>
      </c>
      <c r="M69" s="12">
        <v>140451.10999999999</v>
      </c>
      <c r="N69" s="11">
        <v>0</v>
      </c>
      <c r="O69" s="9">
        <v>117</v>
      </c>
      <c r="P69" s="11">
        <v>2.0000000000000001E-4</v>
      </c>
      <c r="Q69" s="10">
        <v>46132</v>
      </c>
    </row>
    <row r="70" spans="1:17" ht="42" thickBot="1" x14ac:dyDescent="0.35">
      <c r="A70" s="5" t="s">
        <v>119</v>
      </c>
      <c r="B70" s="5" t="s">
        <v>14</v>
      </c>
      <c r="C70" s="5" t="s">
        <v>19</v>
      </c>
      <c r="D70" s="6">
        <v>44956</v>
      </c>
      <c r="E70" s="5" t="s">
        <v>68</v>
      </c>
      <c r="F70" s="5">
        <v>12.22566097</v>
      </c>
      <c r="G70" s="7">
        <v>3.27E-2</v>
      </c>
      <c r="H70" s="7">
        <v>4.2599999999999999E-2</v>
      </c>
      <c r="I70" s="7">
        <v>5.0299999999999997E-2</v>
      </c>
      <c r="J70" s="7">
        <v>6.3500000000000001E-2</v>
      </c>
      <c r="K70" s="5"/>
      <c r="L70" s="5"/>
      <c r="M70" s="8">
        <v>1252858098.9100001</v>
      </c>
      <c r="N70" s="7">
        <v>1.9099999999999999E-2</v>
      </c>
      <c r="O70" s="8">
        <v>17016</v>
      </c>
      <c r="P70" s="7">
        <v>2.2499999999999999E-2</v>
      </c>
      <c r="Q70" s="6">
        <v>46311</v>
      </c>
    </row>
    <row r="71" spans="1:17" ht="55.8" thickBot="1" x14ac:dyDescent="0.35">
      <c r="A71" s="9" t="s">
        <v>119</v>
      </c>
      <c r="B71" s="9" t="s">
        <v>15</v>
      </c>
      <c r="C71" s="9" t="s">
        <v>20</v>
      </c>
      <c r="D71" s="10">
        <v>39897</v>
      </c>
      <c r="E71" s="9" t="s">
        <v>68</v>
      </c>
      <c r="F71" s="9">
        <v>0</v>
      </c>
      <c r="G71" s="9"/>
      <c r="H71" s="11">
        <v>-1</v>
      </c>
      <c r="I71" s="11">
        <v>5.9799999999999999E-2</v>
      </c>
      <c r="J71" s="11">
        <v>6.7000000000000004E-2</v>
      </c>
      <c r="K71" s="11">
        <v>3.9399999999999998E-2</v>
      </c>
      <c r="L71" s="11">
        <v>-6.7000000000000002E-3</v>
      </c>
      <c r="M71" s="12">
        <v>193948463.15000001</v>
      </c>
      <c r="N71" s="11">
        <v>3.0000000000000001E-3</v>
      </c>
      <c r="O71" s="9">
        <v>874</v>
      </c>
      <c r="P71" s="11">
        <v>1.1999999999999999E-3</v>
      </c>
      <c r="Q71" s="10">
        <v>46311</v>
      </c>
    </row>
    <row r="72" spans="1:17" ht="69.599999999999994" thickBot="1" x14ac:dyDescent="0.35">
      <c r="A72" s="5" t="s">
        <v>119</v>
      </c>
      <c r="B72" s="5" t="s">
        <v>125</v>
      </c>
      <c r="C72" s="5" t="s">
        <v>20</v>
      </c>
      <c r="D72" s="6">
        <v>39897</v>
      </c>
      <c r="E72" s="5" t="s">
        <v>68</v>
      </c>
      <c r="F72" s="5">
        <v>204.30919470000001</v>
      </c>
      <c r="G72" s="7">
        <v>2.8899999999999999E-2</v>
      </c>
      <c r="H72" s="5"/>
      <c r="I72" s="5"/>
      <c r="J72" s="5"/>
      <c r="K72" s="5"/>
      <c r="L72" s="5"/>
      <c r="M72" s="5"/>
      <c r="N72" s="5"/>
      <c r="O72" s="5">
        <v>51</v>
      </c>
      <c r="P72" s="7">
        <v>1E-4</v>
      </c>
      <c r="Q72" s="6">
        <v>46311</v>
      </c>
    </row>
    <row r="73" spans="1:17" ht="69.599999999999994" thickBot="1" x14ac:dyDescent="0.35">
      <c r="A73" s="9" t="s">
        <v>119</v>
      </c>
      <c r="B73" s="9" t="s">
        <v>126</v>
      </c>
      <c r="C73" s="9" t="s">
        <v>20</v>
      </c>
      <c r="D73" s="10">
        <v>39897</v>
      </c>
      <c r="E73" s="9" t="s">
        <v>68</v>
      </c>
      <c r="F73" s="9">
        <v>105.4877152</v>
      </c>
      <c r="G73" s="11">
        <v>2.7900000000000001E-2</v>
      </c>
      <c r="H73" s="9"/>
      <c r="I73" s="9"/>
      <c r="J73" s="9"/>
      <c r="K73" s="9"/>
      <c r="L73" s="9"/>
      <c r="M73" s="9"/>
      <c r="N73" s="9"/>
      <c r="O73" s="9">
        <v>824</v>
      </c>
      <c r="P73" s="11">
        <v>1.1000000000000001E-3</v>
      </c>
      <c r="Q73" s="10">
        <v>46311</v>
      </c>
    </row>
    <row r="74" spans="1:17" ht="55.8" thickBot="1" x14ac:dyDescent="0.35">
      <c r="A74" s="5" t="s">
        <v>119</v>
      </c>
      <c r="B74" s="5" t="s">
        <v>21</v>
      </c>
      <c r="C74" s="5" t="s">
        <v>20</v>
      </c>
      <c r="D74" s="6">
        <v>41038</v>
      </c>
      <c r="E74" s="5" t="s">
        <v>68</v>
      </c>
      <c r="F74" s="5">
        <v>0</v>
      </c>
      <c r="G74" s="5"/>
      <c r="H74" s="7">
        <v>-1</v>
      </c>
      <c r="I74" s="7">
        <v>5.5800000000000002E-2</v>
      </c>
      <c r="J74" s="7">
        <v>7.3200000000000001E-2</v>
      </c>
      <c r="K74" s="7">
        <v>4.6199999999999998E-2</v>
      </c>
      <c r="L74" s="7">
        <v>5.1999999999999998E-3</v>
      </c>
      <c r="M74" s="8">
        <v>1602370107.4100001</v>
      </c>
      <c r="N74" s="7">
        <v>2.4400000000000002E-2</v>
      </c>
      <c r="O74" s="8">
        <v>1979</v>
      </c>
      <c r="P74" s="7">
        <v>2.5999999999999999E-3</v>
      </c>
      <c r="Q74" s="6">
        <v>46311</v>
      </c>
    </row>
    <row r="75" spans="1:17" ht="69.599999999999994" thickBot="1" x14ac:dyDescent="0.35">
      <c r="A75" s="9" t="s">
        <v>119</v>
      </c>
      <c r="B75" s="9" t="s">
        <v>127</v>
      </c>
      <c r="C75" s="9" t="s">
        <v>20</v>
      </c>
      <c r="D75" s="10">
        <v>41038</v>
      </c>
      <c r="E75" s="9" t="s">
        <v>68</v>
      </c>
      <c r="F75" s="9">
        <v>176.4820235</v>
      </c>
      <c r="G75" s="11">
        <v>3.3399999999999999E-2</v>
      </c>
      <c r="H75" s="9"/>
      <c r="I75" s="9"/>
      <c r="J75" s="9"/>
      <c r="K75" s="9"/>
      <c r="L75" s="9"/>
      <c r="M75" s="9"/>
      <c r="N75" s="9"/>
      <c r="O75" s="9">
        <v>272</v>
      </c>
      <c r="P75" s="11">
        <v>4.0000000000000002E-4</v>
      </c>
      <c r="Q75" s="10">
        <v>46311</v>
      </c>
    </row>
    <row r="76" spans="1:17" ht="69.599999999999994" thickBot="1" x14ac:dyDescent="0.35">
      <c r="A76" s="5" t="s">
        <v>119</v>
      </c>
      <c r="B76" s="5" t="s">
        <v>128</v>
      </c>
      <c r="C76" s="5" t="s">
        <v>20</v>
      </c>
      <c r="D76" s="6">
        <v>41038</v>
      </c>
      <c r="E76" s="5" t="s">
        <v>68</v>
      </c>
      <c r="F76" s="5">
        <v>105.79282480000001</v>
      </c>
      <c r="G76" s="7">
        <v>3.15E-2</v>
      </c>
      <c r="H76" s="5"/>
      <c r="I76" s="5"/>
      <c r="J76" s="5"/>
      <c r="K76" s="5"/>
      <c r="L76" s="5"/>
      <c r="M76" s="5"/>
      <c r="N76" s="5"/>
      <c r="O76" s="8">
        <v>1709</v>
      </c>
      <c r="P76" s="7">
        <v>2.3E-3</v>
      </c>
      <c r="Q76" s="6">
        <v>46311</v>
      </c>
    </row>
    <row r="77" spans="1:17" ht="42" thickBot="1" x14ac:dyDescent="0.35">
      <c r="A77" s="9" t="s">
        <v>129</v>
      </c>
      <c r="B77" s="9" t="s">
        <v>130</v>
      </c>
      <c r="C77" s="9" t="s">
        <v>17</v>
      </c>
      <c r="D77" s="10">
        <v>39784</v>
      </c>
      <c r="E77" s="9" t="s">
        <v>60</v>
      </c>
      <c r="F77" s="9">
        <v>130.88187235999999</v>
      </c>
      <c r="G77" s="11">
        <v>2.7799999999999998E-2</v>
      </c>
      <c r="H77" s="11">
        <v>3.8899999999999997E-2</v>
      </c>
      <c r="I77" s="11">
        <v>4.8000000000000001E-2</v>
      </c>
      <c r="J77" s="11">
        <v>4.4200000000000003E-2</v>
      </c>
      <c r="K77" s="11">
        <v>1.2200000000000001E-2</v>
      </c>
      <c r="L77" s="11">
        <v>1E-3</v>
      </c>
      <c r="M77" s="12">
        <v>4888928001.96</v>
      </c>
      <c r="N77" s="11">
        <v>7.4399999999999994E-2</v>
      </c>
      <c r="O77" s="12">
        <v>25725</v>
      </c>
      <c r="P77" s="11">
        <v>3.4000000000000002E-2</v>
      </c>
      <c r="Q77" s="10">
        <v>46311</v>
      </c>
    </row>
    <row r="78" spans="1:17" ht="55.8" thickBot="1" x14ac:dyDescent="0.35">
      <c r="A78" s="5" t="s">
        <v>129</v>
      </c>
      <c r="B78" s="5" t="s">
        <v>131</v>
      </c>
      <c r="C78" s="5" t="s">
        <v>17</v>
      </c>
      <c r="D78" s="6">
        <v>36693</v>
      </c>
      <c r="E78" s="5" t="s">
        <v>60</v>
      </c>
      <c r="F78" s="5">
        <v>193.02562541</v>
      </c>
      <c r="G78" s="7">
        <v>2.3599999999999999E-2</v>
      </c>
      <c r="H78" s="7">
        <v>4.8899999999999999E-2</v>
      </c>
      <c r="I78" s="7">
        <v>5.2200000000000003E-2</v>
      </c>
      <c r="J78" s="7">
        <v>4.65E-2</v>
      </c>
      <c r="K78" s="7">
        <v>3.5999999999999999E-3</v>
      </c>
      <c r="L78" s="7">
        <v>2.0999999999999999E-3</v>
      </c>
      <c r="M78" s="8">
        <v>2510002069.52</v>
      </c>
      <c r="N78" s="7">
        <v>3.8199999999999998E-2</v>
      </c>
      <c r="O78" s="8">
        <v>6150</v>
      </c>
      <c r="P78" s="7">
        <v>8.0999999999999996E-3</v>
      </c>
      <c r="Q78" s="6">
        <v>46311</v>
      </c>
    </row>
    <row r="79" spans="1:17" ht="83.4" thickBot="1" x14ac:dyDescent="0.35">
      <c r="A79" s="9" t="s">
        <v>129</v>
      </c>
      <c r="B79" s="9" t="s">
        <v>132</v>
      </c>
      <c r="C79" s="9" t="s">
        <v>18</v>
      </c>
      <c r="D79" s="10">
        <v>41688</v>
      </c>
      <c r="E79" s="9" t="s">
        <v>60</v>
      </c>
      <c r="F79" s="9">
        <v>0</v>
      </c>
      <c r="G79" s="11">
        <v>-1</v>
      </c>
      <c r="H79" s="11">
        <v>4.6699999999999998E-2</v>
      </c>
      <c r="I79" s="11">
        <v>5.3400000000000003E-2</v>
      </c>
      <c r="J79" s="11">
        <v>5.16E-2</v>
      </c>
      <c r="K79" s="11">
        <v>1.4500000000000001E-2</v>
      </c>
      <c r="L79" s="11">
        <v>3.3999999999999998E-3</v>
      </c>
      <c r="M79" s="12">
        <v>3463506135.52</v>
      </c>
      <c r="N79" s="11">
        <v>5.2699999999999997E-2</v>
      </c>
      <c r="O79" s="12">
        <v>10884</v>
      </c>
      <c r="P79" s="11">
        <v>1.44E-2</v>
      </c>
      <c r="Q79" s="10">
        <v>46311</v>
      </c>
    </row>
    <row r="80" spans="1:17" ht="83.4" thickBot="1" x14ac:dyDescent="0.35">
      <c r="A80" s="5" t="s">
        <v>129</v>
      </c>
      <c r="B80" s="5" t="s">
        <v>133</v>
      </c>
      <c r="C80" s="5" t="s">
        <v>18</v>
      </c>
      <c r="D80" s="6">
        <v>41688</v>
      </c>
      <c r="E80" s="5" t="s">
        <v>60</v>
      </c>
      <c r="F80" s="5">
        <v>134.55518599999999</v>
      </c>
      <c r="G80" s="5"/>
      <c r="H80" s="5"/>
      <c r="I80" s="5"/>
      <c r="J80" s="5"/>
      <c r="K80" s="5"/>
      <c r="L80" s="5"/>
      <c r="M80" s="5"/>
      <c r="N80" s="5"/>
      <c r="O80" s="8">
        <v>10671</v>
      </c>
      <c r="P80" s="7">
        <v>1.41E-2</v>
      </c>
      <c r="Q80" s="6">
        <v>46311</v>
      </c>
    </row>
    <row r="81" spans="1:17" ht="83.4" thickBot="1" x14ac:dyDescent="0.35">
      <c r="A81" s="9" t="s">
        <v>129</v>
      </c>
      <c r="B81" s="9" t="s">
        <v>134</v>
      </c>
      <c r="C81" s="9" t="s">
        <v>18</v>
      </c>
      <c r="D81" s="10">
        <v>41688</v>
      </c>
      <c r="E81" s="9" t="s">
        <v>60</v>
      </c>
      <c r="F81" s="9">
        <v>134.56087500000001</v>
      </c>
      <c r="G81" s="9"/>
      <c r="H81" s="9"/>
      <c r="I81" s="9"/>
      <c r="J81" s="9"/>
      <c r="K81" s="9"/>
      <c r="L81" s="9"/>
      <c r="M81" s="9"/>
      <c r="N81" s="9"/>
      <c r="O81" s="9">
        <v>213</v>
      </c>
      <c r="P81" s="11">
        <v>2.9999999999999997E-4</v>
      </c>
      <c r="Q81" s="10">
        <v>46311</v>
      </c>
    </row>
    <row r="82" spans="1:17" ht="83.4" thickBot="1" x14ac:dyDescent="0.35">
      <c r="A82" s="5" t="s">
        <v>129</v>
      </c>
      <c r="B82" s="5" t="s">
        <v>135</v>
      </c>
      <c r="C82" s="5" t="s">
        <v>18</v>
      </c>
      <c r="D82" s="6">
        <v>36286</v>
      </c>
      <c r="E82" s="5" t="s">
        <v>60</v>
      </c>
      <c r="F82" s="5">
        <v>0</v>
      </c>
      <c r="G82" s="7">
        <v>-1</v>
      </c>
      <c r="H82" s="7">
        <v>3.8300000000000001E-2</v>
      </c>
      <c r="I82" s="7">
        <v>4.9299999999999997E-2</v>
      </c>
      <c r="J82" s="7">
        <v>4.8300000000000003E-2</v>
      </c>
      <c r="K82" s="7">
        <v>1.5800000000000002E-2</v>
      </c>
      <c r="L82" s="7">
        <v>2.8E-3</v>
      </c>
      <c r="M82" s="8">
        <v>6598761740.0500002</v>
      </c>
      <c r="N82" s="7">
        <v>0.10050000000000001</v>
      </c>
      <c r="O82" s="8">
        <v>28003</v>
      </c>
      <c r="P82" s="7">
        <v>3.6999999999999998E-2</v>
      </c>
      <c r="Q82" s="6">
        <v>46311</v>
      </c>
    </row>
    <row r="83" spans="1:17" ht="69.599999999999994" thickBot="1" x14ac:dyDescent="0.35">
      <c r="A83" s="9" t="s">
        <v>129</v>
      </c>
      <c r="B83" s="9" t="s">
        <v>136</v>
      </c>
      <c r="C83" s="9" t="s">
        <v>18</v>
      </c>
      <c r="D83" s="10">
        <v>36286</v>
      </c>
      <c r="E83" s="9" t="s">
        <v>60</v>
      </c>
      <c r="F83" s="9">
        <v>201.422301</v>
      </c>
      <c r="G83" s="9"/>
      <c r="H83" s="9"/>
      <c r="I83" s="9"/>
      <c r="J83" s="9"/>
      <c r="K83" s="9"/>
      <c r="L83" s="9"/>
      <c r="M83" s="9"/>
      <c r="N83" s="9"/>
      <c r="O83" s="12">
        <v>27344</v>
      </c>
      <c r="P83" s="11">
        <v>3.61E-2</v>
      </c>
      <c r="Q83" s="10">
        <v>46311</v>
      </c>
    </row>
    <row r="84" spans="1:17" ht="69.599999999999994" thickBot="1" x14ac:dyDescent="0.35">
      <c r="A84" s="5" t="s">
        <v>129</v>
      </c>
      <c r="B84" s="5" t="s">
        <v>137</v>
      </c>
      <c r="C84" s="5" t="s">
        <v>18</v>
      </c>
      <c r="D84" s="6">
        <v>36286</v>
      </c>
      <c r="E84" s="5" t="s">
        <v>60</v>
      </c>
      <c r="F84" s="5">
        <v>201.42912799999999</v>
      </c>
      <c r="G84" s="5"/>
      <c r="H84" s="5"/>
      <c r="I84" s="5"/>
      <c r="J84" s="5"/>
      <c r="K84" s="5"/>
      <c r="L84" s="5"/>
      <c r="M84" s="5"/>
      <c r="N84" s="5"/>
      <c r="O84" s="5">
        <v>659</v>
      </c>
      <c r="P84" s="7">
        <v>8.9999999999999998E-4</v>
      </c>
      <c r="Q84" s="6">
        <v>46311</v>
      </c>
    </row>
    <row r="85" spans="1:17" ht="42" thickBot="1" x14ac:dyDescent="0.35">
      <c r="A85" s="9" t="s">
        <v>129</v>
      </c>
      <c r="B85" s="9" t="s">
        <v>138</v>
      </c>
      <c r="C85" s="9"/>
      <c r="D85" s="10">
        <v>42082</v>
      </c>
      <c r="E85" s="9" t="s">
        <v>60</v>
      </c>
      <c r="F85" s="9">
        <v>56.964767999999999</v>
      </c>
      <c r="G85" s="11">
        <v>-1</v>
      </c>
      <c r="H85" s="11">
        <v>-0.4929</v>
      </c>
      <c r="I85" s="11">
        <v>-7.7700000000000005E-2</v>
      </c>
      <c r="J85" s="11">
        <v>5.3600000000000002E-2</v>
      </c>
      <c r="K85" s="11">
        <v>8.8000000000000005E-3</v>
      </c>
      <c r="L85" s="11">
        <v>2.93E-2</v>
      </c>
      <c r="M85" s="12">
        <v>309519.3</v>
      </c>
      <c r="N85" s="11">
        <v>0</v>
      </c>
      <c r="O85" s="9">
        <v>38</v>
      </c>
      <c r="P85" s="11">
        <v>1E-4</v>
      </c>
      <c r="Q85" s="10">
        <v>46132</v>
      </c>
    </row>
    <row r="86" spans="1:17" ht="69.599999999999994" thickBot="1" x14ac:dyDescent="0.35">
      <c r="A86" s="5" t="s">
        <v>129</v>
      </c>
      <c r="B86" s="5" t="s">
        <v>139</v>
      </c>
      <c r="C86" s="5" t="s">
        <v>63</v>
      </c>
      <c r="D86" s="6">
        <v>44782</v>
      </c>
      <c r="E86" s="5" t="s">
        <v>60</v>
      </c>
      <c r="F86" s="5">
        <v>0</v>
      </c>
      <c r="G86" s="5"/>
      <c r="H86" s="5"/>
      <c r="I86" s="5"/>
      <c r="J86" s="5"/>
      <c r="K86" s="5"/>
      <c r="L86" s="5"/>
      <c r="M86" s="8">
        <v>11984827.289999999</v>
      </c>
      <c r="N86" s="7">
        <v>2.0000000000000001E-4</v>
      </c>
      <c r="O86" s="5">
        <v>35</v>
      </c>
      <c r="P86" s="7">
        <v>0</v>
      </c>
      <c r="Q86" s="6">
        <v>46311</v>
      </c>
    </row>
    <row r="87" spans="1:17" ht="83.4" thickBot="1" x14ac:dyDescent="0.35">
      <c r="A87" s="9" t="s">
        <v>129</v>
      </c>
      <c r="B87" s="9" t="s">
        <v>140</v>
      </c>
      <c r="C87" s="9" t="s">
        <v>63</v>
      </c>
      <c r="D87" s="10">
        <v>44782</v>
      </c>
      <c r="E87" s="9" t="s">
        <v>60</v>
      </c>
      <c r="F87" s="9">
        <v>104.67983529999999</v>
      </c>
      <c r="G87" s="11">
        <v>2.7199999999999998E-2</v>
      </c>
      <c r="H87" s="11">
        <v>-4.48E-2</v>
      </c>
      <c r="I87" s="11">
        <v>4.7E-2</v>
      </c>
      <c r="J87" s="11">
        <v>8.8999999999999999E-3</v>
      </c>
      <c r="K87" s="11">
        <v>9.4000000000000004E-3</v>
      </c>
      <c r="L87" s="9"/>
      <c r="M87" s="9"/>
      <c r="N87" s="9"/>
      <c r="O87" s="9">
        <v>2</v>
      </c>
      <c r="P87" s="11">
        <v>0</v>
      </c>
      <c r="Q87" s="10">
        <v>46311</v>
      </c>
    </row>
    <row r="88" spans="1:17" ht="83.4" thickBot="1" x14ac:dyDescent="0.35">
      <c r="A88" s="5" t="s">
        <v>129</v>
      </c>
      <c r="B88" s="5" t="s">
        <v>141</v>
      </c>
      <c r="C88" s="5" t="s">
        <v>63</v>
      </c>
      <c r="D88" s="6">
        <v>44782</v>
      </c>
      <c r="E88" s="5" t="s">
        <v>60</v>
      </c>
      <c r="F88" s="5">
        <v>117.86008150000001</v>
      </c>
      <c r="G88" s="7">
        <v>2.6800000000000001E-2</v>
      </c>
      <c r="H88" s="7">
        <v>3.7699999999999997E-2</v>
      </c>
      <c r="I88" s="7">
        <v>4.5999999999999999E-2</v>
      </c>
      <c r="J88" s="7">
        <v>4.48E-2</v>
      </c>
      <c r="K88" s="7">
        <v>9.1999999999999998E-3</v>
      </c>
      <c r="L88" s="5"/>
      <c r="M88" s="5"/>
      <c r="N88" s="5"/>
      <c r="O88" s="5">
        <v>33</v>
      </c>
      <c r="P88" s="7">
        <v>0</v>
      </c>
      <c r="Q88" s="6">
        <v>46311</v>
      </c>
    </row>
    <row r="89" spans="1:17" ht="42" thickBot="1" x14ac:dyDescent="0.35">
      <c r="A89" s="9" t="s">
        <v>129</v>
      </c>
      <c r="B89" s="9" t="s">
        <v>142</v>
      </c>
      <c r="C89" s="9" t="s">
        <v>19</v>
      </c>
      <c r="D89" s="10">
        <v>44957</v>
      </c>
      <c r="E89" s="9" t="s">
        <v>60</v>
      </c>
      <c r="F89" s="9">
        <v>11.688512490000001</v>
      </c>
      <c r="G89" s="11">
        <v>2.6800000000000001E-2</v>
      </c>
      <c r="H89" s="11">
        <v>3.8300000000000001E-2</v>
      </c>
      <c r="I89" s="11">
        <v>4.6100000000000002E-2</v>
      </c>
      <c r="J89" s="11">
        <v>4.2200000000000001E-2</v>
      </c>
      <c r="K89" s="9"/>
      <c r="L89" s="9"/>
      <c r="M89" s="12">
        <v>3347420949.4099998</v>
      </c>
      <c r="N89" s="11">
        <v>5.0999999999999997E-2</v>
      </c>
      <c r="O89" s="12">
        <v>14223</v>
      </c>
      <c r="P89" s="11">
        <v>1.8800000000000001E-2</v>
      </c>
      <c r="Q89" s="10">
        <v>46311</v>
      </c>
    </row>
    <row r="90" spans="1:17" ht="69.599999999999994" thickBot="1" x14ac:dyDescent="0.35">
      <c r="A90" s="5" t="s">
        <v>129</v>
      </c>
      <c r="B90" s="5" t="s">
        <v>143</v>
      </c>
      <c r="C90" s="5" t="s">
        <v>20</v>
      </c>
      <c r="D90" s="6">
        <v>40056</v>
      </c>
      <c r="E90" s="5" t="s">
        <v>60</v>
      </c>
      <c r="F90" s="5">
        <v>0</v>
      </c>
      <c r="G90" s="5"/>
      <c r="H90" s="7">
        <v>-1</v>
      </c>
      <c r="I90" s="7">
        <v>4.8599999999999997E-2</v>
      </c>
      <c r="J90" s="7">
        <v>4.82E-2</v>
      </c>
      <c r="K90" s="7">
        <v>1.38E-2</v>
      </c>
      <c r="L90" s="7">
        <v>6.4999999999999997E-3</v>
      </c>
      <c r="M90" s="8">
        <v>372210323.91000003</v>
      </c>
      <c r="N90" s="7">
        <v>5.7000000000000002E-3</v>
      </c>
      <c r="O90" s="8">
        <v>1230</v>
      </c>
      <c r="P90" s="7">
        <v>1.6000000000000001E-3</v>
      </c>
      <c r="Q90" s="6">
        <v>46311</v>
      </c>
    </row>
    <row r="91" spans="1:17" ht="83.4" thickBot="1" x14ac:dyDescent="0.35">
      <c r="A91" s="9" t="s">
        <v>129</v>
      </c>
      <c r="B91" s="9" t="s">
        <v>144</v>
      </c>
      <c r="C91" s="9" t="s">
        <v>20</v>
      </c>
      <c r="D91" s="10">
        <v>40056</v>
      </c>
      <c r="E91" s="9" t="s">
        <v>60</v>
      </c>
      <c r="F91" s="9">
        <v>147.8146308</v>
      </c>
      <c r="G91" s="11">
        <v>2.41E-2</v>
      </c>
      <c r="H91" s="9"/>
      <c r="I91" s="9"/>
      <c r="J91" s="9"/>
      <c r="K91" s="9"/>
      <c r="L91" s="9"/>
      <c r="M91" s="9"/>
      <c r="N91" s="9"/>
      <c r="O91" s="9">
        <v>56</v>
      </c>
      <c r="P91" s="11">
        <v>1E-4</v>
      </c>
      <c r="Q91" s="10">
        <v>46311</v>
      </c>
    </row>
    <row r="92" spans="1:17" ht="83.4" thickBot="1" x14ac:dyDescent="0.35">
      <c r="A92" s="5" t="s">
        <v>129</v>
      </c>
      <c r="B92" s="5" t="s">
        <v>145</v>
      </c>
      <c r="C92" s="5" t="s">
        <v>20</v>
      </c>
      <c r="D92" s="6">
        <v>40056</v>
      </c>
      <c r="E92" s="5" t="s">
        <v>60</v>
      </c>
      <c r="F92" s="5">
        <v>104.99386440000001</v>
      </c>
      <c r="G92" s="7">
        <v>2.2200000000000001E-2</v>
      </c>
      <c r="H92" s="5"/>
      <c r="I92" s="5"/>
      <c r="J92" s="5"/>
      <c r="K92" s="5"/>
      <c r="L92" s="5"/>
      <c r="M92" s="5"/>
      <c r="N92" s="5"/>
      <c r="O92" s="8">
        <v>1175</v>
      </c>
      <c r="P92" s="7">
        <v>1.6000000000000001E-3</v>
      </c>
      <c r="Q92" s="6">
        <v>46311</v>
      </c>
    </row>
    <row r="93" spans="1:17" ht="69.599999999999994" thickBot="1" x14ac:dyDescent="0.35">
      <c r="A93" s="9" t="s">
        <v>129</v>
      </c>
      <c r="B93" s="9" t="s">
        <v>146</v>
      </c>
      <c r="C93" s="9" t="s">
        <v>20</v>
      </c>
      <c r="D93" s="10">
        <v>41109</v>
      </c>
      <c r="E93" s="9" t="s">
        <v>60</v>
      </c>
      <c r="F93" s="9">
        <v>0</v>
      </c>
      <c r="G93" s="9"/>
      <c r="H93" s="11">
        <v>-1</v>
      </c>
      <c r="I93" s="11">
        <v>4.87E-2</v>
      </c>
      <c r="J93" s="11">
        <v>4.7899999999999998E-2</v>
      </c>
      <c r="K93" s="11">
        <v>1.49E-2</v>
      </c>
      <c r="L93" s="11">
        <v>4.1000000000000003E-3</v>
      </c>
      <c r="M93" s="12">
        <v>1324879774.8599999</v>
      </c>
      <c r="N93" s="11">
        <v>2.0199999999999999E-2</v>
      </c>
      <c r="O93" s="12">
        <v>1692</v>
      </c>
      <c r="P93" s="11">
        <v>2.2000000000000001E-3</v>
      </c>
      <c r="Q93" s="10">
        <v>46311</v>
      </c>
    </row>
    <row r="94" spans="1:17" ht="83.4" thickBot="1" x14ac:dyDescent="0.35">
      <c r="A94" s="5" t="s">
        <v>129</v>
      </c>
      <c r="B94" s="5" t="s">
        <v>147</v>
      </c>
      <c r="C94" s="5" t="s">
        <v>20</v>
      </c>
      <c r="D94" s="6">
        <v>41109</v>
      </c>
      <c r="E94" s="5" t="s">
        <v>60</v>
      </c>
      <c r="F94" s="5">
        <v>132.89154189999999</v>
      </c>
      <c r="G94" s="7">
        <v>2.7699999999999999E-2</v>
      </c>
      <c r="H94" s="5"/>
      <c r="I94" s="5"/>
      <c r="J94" s="5"/>
      <c r="K94" s="5"/>
      <c r="L94" s="5"/>
      <c r="M94" s="5"/>
      <c r="N94" s="5"/>
      <c r="O94" s="5">
        <v>232</v>
      </c>
      <c r="P94" s="7">
        <v>2.9999999999999997E-4</v>
      </c>
      <c r="Q94" s="6">
        <v>46311</v>
      </c>
    </row>
    <row r="95" spans="1:17" ht="83.4" thickBot="1" x14ac:dyDescent="0.35">
      <c r="A95" s="9" t="s">
        <v>129</v>
      </c>
      <c r="B95" s="9" t="s">
        <v>148</v>
      </c>
      <c r="C95" s="9" t="s">
        <v>20</v>
      </c>
      <c r="D95" s="10">
        <v>41109</v>
      </c>
      <c r="E95" s="9" t="s">
        <v>60</v>
      </c>
      <c r="F95" s="9">
        <v>104.9512739</v>
      </c>
      <c r="G95" s="11">
        <v>2.5700000000000001E-2</v>
      </c>
      <c r="H95" s="9"/>
      <c r="I95" s="9"/>
      <c r="J95" s="9"/>
      <c r="K95" s="9"/>
      <c r="L95" s="9"/>
      <c r="M95" s="9"/>
      <c r="N95" s="9"/>
      <c r="O95" s="12">
        <v>1461</v>
      </c>
      <c r="P95" s="11">
        <v>1.9E-3</v>
      </c>
      <c r="Q95" s="10">
        <v>46311</v>
      </c>
    </row>
    <row r="96" spans="1:17" ht="42" thickBot="1" x14ac:dyDescent="0.35">
      <c r="A96" s="5" t="s">
        <v>149</v>
      </c>
      <c r="B96" s="5" t="s">
        <v>150</v>
      </c>
      <c r="C96" s="5" t="s">
        <v>151</v>
      </c>
      <c r="D96" s="6">
        <v>46295</v>
      </c>
      <c r="E96" s="5" t="s">
        <v>60</v>
      </c>
      <c r="F96" s="5">
        <v>9.9456430200000003</v>
      </c>
      <c r="G96" s="7">
        <v>-5.4000000000000003E-3</v>
      </c>
      <c r="H96" s="5"/>
      <c r="I96" s="5"/>
      <c r="J96" s="5"/>
      <c r="K96" s="5"/>
      <c r="L96" s="5"/>
      <c r="M96" s="8">
        <v>5568839.3499999996</v>
      </c>
      <c r="N96" s="7">
        <v>1E-4</v>
      </c>
      <c r="O96" s="5">
        <v>11</v>
      </c>
      <c r="P96" s="7">
        <v>0</v>
      </c>
      <c r="Q96" s="6">
        <v>46311</v>
      </c>
    </row>
    <row r="97" spans="1:17" ht="42" thickBot="1" x14ac:dyDescent="0.35">
      <c r="A97" s="9" t="s">
        <v>149</v>
      </c>
      <c r="B97" s="9" t="s">
        <v>152</v>
      </c>
      <c r="C97" s="9" t="s">
        <v>151</v>
      </c>
      <c r="D97" s="10">
        <v>45376</v>
      </c>
      <c r="E97" s="9" t="s">
        <v>60</v>
      </c>
      <c r="F97" s="9">
        <v>11.71547032</v>
      </c>
      <c r="G97" s="11">
        <v>2.8899999999999999E-2</v>
      </c>
      <c r="H97" s="11">
        <v>7.5800000000000006E-2</v>
      </c>
      <c r="I97" s="11">
        <v>5.5899999999999998E-2</v>
      </c>
      <c r="J97" s="9"/>
      <c r="K97" s="9"/>
      <c r="L97" s="9"/>
      <c r="M97" s="12">
        <v>184470781.11000001</v>
      </c>
      <c r="N97" s="11">
        <v>2.8E-3</v>
      </c>
      <c r="O97" s="9">
        <v>39</v>
      </c>
      <c r="P97" s="11">
        <v>1E-4</v>
      </c>
      <c r="Q97" s="10">
        <v>46311</v>
      </c>
    </row>
    <row r="98" spans="1:17" ht="28.2" thickBot="1" x14ac:dyDescent="0.35">
      <c r="A98" s="5" t="s">
        <v>149</v>
      </c>
      <c r="B98" s="5" t="s">
        <v>153</v>
      </c>
      <c r="C98" s="5" t="s">
        <v>151</v>
      </c>
      <c r="D98" s="6">
        <v>45272</v>
      </c>
      <c r="E98" s="5" t="s">
        <v>68</v>
      </c>
      <c r="F98" s="5">
        <v>0</v>
      </c>
      <c r="G98" s="5"/>
      <c r="H98" s="7">
        <v>-1</v>
      </c>
      <c r="I98" s="7">
        <v>5.0299999999999997E-2</v>
      </c>
      <c r="J98" s="7">
        <v>3.8999999999999998E-3</v>
      </c>
      <c r="K98" s="5"/>
      <c r="L98" s="5"/>
      <c r="M98" s="8">
        <v>8942133.5399999991</v>
      </c>
      <c r="N98" s="7">
        <v>1E-4</v>
      </c>
      <c r="O98" s="8">
        <v>7380</v>
      </c>
      <c r="P98" s="7">
        <v>9.7999999999999997E-3</v>
      </c>
      <c r="Q98" s="6">
        <v>46311</v>
      </c>
    </row>
    <row r="99" spans="1:17" ht="42" thickBot="1" x14ac:dyDescent="0.35">
      <c r="A99" s="9" t="s">
        <v>149</v>
      </c>
      <c r="B99" s="9" t="s">
        <v>154</v>
      </c>
      <c r="C99" s="9" t="s">
        <v>151</v>
      </c>
      <c r="D99" s="10">
        <v>45272</v>
      </c>
      <c r="E99" s="9" t="s">
        <v>68</v>
      </c>
      <c r="F99" s="9">
        <v>11.074342659999999</v>
      </c>
      <c r="G99" s="11">
        <v>2.81E-2</v>
      </c>
      <c r="H99" s="9"/>
      <c r="I99" s="9"/>
      <c r="J99" s="9"/>
      <c r="K99" s="9"/>
      <c r="L99" s="9"/>
      <c r="M99" s="9"/>
      <c r="N99" s="9"/>
      <c r="O99" s="12">
        <v>4037</v>
      </c>
      <c r="P99" s="11">
        <v>5.3E-3</v>
      </c>
      <c r="Q99" s="10">
        <v>46311</v>
      </c>
    </row>
    <row r="100" spans="1:17" ht="42" thickBot="1" x14ac:dyDescent="0.35">
      <c r="A100" s="5" t="s">
        <v>149</v>
      </c>
      <c r="B100" s="5" t="s">
        <v>155</v>
      </c>
      <c r="C100" s="5" t="s">
        <v>151</v>
      </c>
      <c r="D100" s="6">
        <v>45272</v>
      </c>
      <c r="E100" s="5" t="s">
        <v>68</v>
      </c>
      <c r="F100" s="5">
        <v>12.01111715</v>
      </c>
      <c r="G100" s="7">
        <v>3.2199999999999999E-2</v>
      </c>
      <c r="H100" s="5"/>
      <c r="I100" s="5"/>
      <c r="J100" s="5"/>
      <c r="K100" s="5"/>
      <c r="L100" s="5"/>
      <c r="M100" s="5"/>
      <c r="N100" s="5"/>
      <c r="O100" s="8">
        <v>3361</v>
      </c>
      <c r="P100" s="7">
        <v>4.4000000000000003E-3</v>
      </c>
      <c r="Q100" s="6">
        <v>46311</v>
      </c>
    </row>
    <row r="101" spans="1:17" ht="42" thickBot="1" x14ac:dyDescent="0.35">
      <c r="A101" s="9" t="s">
        <v>149</v>
      </c>
      <c r="B101" s="9" t="s">
        <v>156</v>
      </c>
      <c r="C101" s="9" t="s">
        <v>151</v>
      </c>
      <c r="D101" s="10">
        <v>45945</v>
      </c>
      <c r="E101" s="9" t="s">
        <v>60</v>
      </c>
      <c r="F101" s="9">
        <v>0</v>
      </c>
      <c r="G101" s="9"/>
      <c r="H101" s="9"/>
      <c r="I101" s="9"/>
      <c r="J101" s="9"/>
      <c r="K101" s="9"/>
      <c r="L101" s="9"/>
      <c r="M101" s="12">
        <v>6499257.3099999996</v>
      </c>
      <c r="N101" s="11">
        <v>1E-4</v>
      </c>
      <c r="O101" s="9">
        <v>21</v>
      </c>
      <c r="P101" s="11">
        <v>0</v>
      </c>
      <c r="Q101" s="10">
        <v>46311</v>
      </c>
    </row>
    <row r="102" spans="1:17" ht="55.8" thickBot="1" x14ac:dyDescent="0.35">
      <c r="A102" s="5" t="s">
        <v>149</v>
      </c>
      <c r="B102" s="5" t="s">
        <v>157</v>
      </c>
      <c r="C102" s="5" t="s">
        <v>151</v>
      </c>
      <c r="D102" s="6">
        <v>45945</v>
      </c>
      <c r="E102" s="5" t="s">
        <v>60</v>
      </c>
      <c r="F102" s="5">
        <v>9.3950901699999996</v>
      </c>
      <c r="G102" s="7">
        <v>-8.3000000000000004E-2</v>
      </c>
      <c r="H102" s="5"/>
      <c r="I102" s="5"/>
      <c r="J102" s="5"/>
      <c r="K102" s="5"/>
      <c r="L102" s="5"/>
      <c r="M102" s="5"/>
      <c r="N102" s="5"/>
      <c r="O102" s="5">
        <v>4</v>
      </c>
      <c r="P102" s="7">
        <v>0</v>
      </c>
      <c r="Q102" s="6">
        <v>46311</v>
      </c>
    </row>
    <row r="103" spans="1:17" ht="55.8" thickBot="1" x14ac:dyDescent="0.35">
      <c r="A103" s="9" t="s">
        <v>149</v>
      </c>
      <c r="B103" s="9" t="s">
        <v>158</v>
      </c>
      <c r="C103" s="9" t="s">
        <v>151</v>
      </c>
      <c r="D103" s="10">
        <v>45945</v>
      </c>
      <c r="E103" s="9" t="s">
        <v>60</v>
      </c>
      <c r="F103" s="9">
        <v>9.0982656899999999</v>
      </c>
      <c r="G103" s="11">
        <v>-8.4699999999999998E-2</v>
      </c>
      <c r="H103" s="9"/>
      <c r="I103" s="9"/>
      <c r="J103" s="9"/>
      <c r="K103" s="9"/>
      <c r="L103" s="9"/>
      <c r="M103" s="9"/>
      <c r="N103" s="9"/>
      <c r="O103" s="9">
        <v>17</v>
      </c>
      <c r="P103" s="11">
        <v>0</v>
      </c>
      <c r="Q103" s="10">
        <v>46311</v>
      </c>
    </row>
    <row r="104" spans="1:17" ht="55.8" thickBot="1" x14ac:dyDescent="0.35">
      <c r="A104" s="5" t="s">
        <v>149</v>
      </c>
      <c r="B104" s="5" t="s">
        <v>159</v>
      </c>
      <c r="C104" s="5" t="s">
        <v>151</v>
      </c>
      <c r="D104" s="6">
        <v>45945</v>
      </c>
      <c r="E104" s="5" t="s">
        <v>60</v>
      </c>
      <c r="F104" s="5">
        <v>9.1444289800000007</v>
      </c>
      <c r="G104" s="7">
        <v>-8.1199999999999994E-2</v>
      </c>
      <c r="H104" s="5"/>
      <c r="I104" s="5"/>
      <c r="J104" s="5"/>
      <c r="K104" s="5"/>
      <c r="L104" s="5"/>
      <c r="M104" s="5"/>
      <c r="N104" s="5"/>
      <c r="O104" s="5">
        <v>1</v>
      </c>
      <c r="P104" s="7">
        <v>0</v>
      </c>
      <c r="Q104" s="6">
        <v>46311</v>
      </c>
    </row>
    <row r="105" spans="1:17" ht="69.599999999999994" thickBot="1" x14ac:dyDescent="0.35">
      <c r="A105" s="9" t="s">
        <v>149</v>
      </c>
      <c r="B105" s="9" t="s">
        <v>160</v>
      </c>
      <c r="C105" s="9" t="s">
        <v>151</v>
      </c>
      <c r="D105" s="10">
        <v>45852</v>
      </c>
      <c r="E105" s="9" t="s">
        <v>60</v>
      </c>
      <c r="F105" s="9">
        <v>0</v>
      </c>
      <c r="G105" s="9"/>
      <c r="H105" s="9"/>
      <c r="I105" s="9"/>
      <c r="J105" s="9"/>
      <c r="K105" s="9"/>
      <c r="L105" s="9"/>
      <c r="M105" s="12">
        <v>36157738.32</v>
      </c>
      <c r="N105" s="11">
        <v>5.9999999999999995E-4</v>
      </c>
      <c r="O105" s="9">
        <v>484</v>
      </c>
      <c r="P105" s="11">
        <v>5.9999999999999995E-4</v>
      </c>
      <c r="Q105" s="10">
        <v>46311</v>
      </c>
    </row>
    <row r="106" spans="1:17" ht="83.4" thickBot="1" x14ac:dyDescent="0.35">
      <c r="A106" s="5" t="s">
        <v>149</v>
      </c>
      <c r="B106" s="5" t="s">
        <v>161</v>
      </c>
      <c r="C106" s="5" t="s">
        <v>151</v>
      </c>
      <c r="D106" s="6">
        <v>45852</v>
      </c>
      <c r="E106" s="5" t="s">
        <v>60</v>
      </c>
      <c r="F106" s="5">
        <v>10.81328416</v>
      </c>
      <c r="G106" s="7">
        <v>-2.5999999999999999E-3</v>
      </c>
      <c r="H106" s="7">
        <v>7.6300000000000007E-2</v>
      </c>
      <c r="I106" s="5"/>
      <c r="J106" s="5"/>
      <c r="K106" s="5"/>
      <c r="L106" s="5"/>
      <c r="M106" s="5"/>
      <c r="N106" s="5"/>
      <c r="O106" s="5">
        <v>92</v>
      </c>
      <c r="P106" s="7">
        <v>1E-4</v>
      </c>
      <c r="Q106" s="6">
        <v>46311</v>
      </c>
    </row>
    <row r="107" spans="1:17" ht="83.4" thickBot="1" x14ac:dyDescent="0.35">
      <c r="A107" s="9" t="s">
        <v>149</v>
      </c>
      <c r="B107" s="9" t="s">
        <v>162</v>
      </c>
      <c r="C107" s="9" t="s">
        <v>151</v>
      </c>
      <c r="D107" s="10">
        <v>45852</v>
      </c>
      <c r="E107" s="9" t="s">
        <v>60</v>
      </c>
      <c r="F107" s="9">
        <v>10.78042202</v>
      </c>
      <c r="G107" s="11">
        <v>-4.4999999999999997E-3</v>
      </c>
      <c r="H107" s="11">
        <v>7.51E-2</v>
      </c>
      <c r="I107" s="9"/>
      <c r="J107" s="9"/>
      <c r="K107" s="9"/>
      <c r="L107" s="9"/>
      <c r="M107" s="9"/>
      <c r="N107" s="9"/>
      <c r="O107" s="9">
        <v>399</v>
      </c>
      <c r="P107" s="11">
        <v>5.0000000000000001E-4</v>
      </c>
      <c r="Q107" s="10">
        <v>46311</v>
      </c>
    </row>
    <row r="108" spans="1:17" ht="42" thickBot="1" x14ac:dyDescent="0.35">
      <c r="A108" s="5" t="s">
        <v>149</v>
      </c>
      <c r="B108" s="5" t="s">
        <v>163</v>
      </c>
      <c r="C108" s="5" t="s">
        <v>151</v>
      </c>
      <c r="D108" s="6">
        <v>44971</v>
      </c>
      <c r="E108" s="5" t="s">
        <v>60</v>
      </c>
      <c r="F108" s="5">
        <v>11.91958283</v>
      </c>
      <c r="G108" s="7">
        <v>2.86E-2</v>
      </c>
      <c r="H108" s="7">
        <v>5.2499999999999998E-2</v>
      </c>
      <c r="I108" s="7">
        <v>5.28E-2</v>
      </c>
      <c r="J108" s="7">
        <v>4.41E-2</v>
      </c>
      <c r="K108" s="5"/>
      <c r="L108" s="5"/>
      <c r="M108" s="8">
        <v>85036493.030000001</v>
      </c>
      <c r="N108" s="7">
        <v>1.2999999999999999E-3</v>
      </c>
      <c r="O108" s="5">
        <v>31</v>
      </c>
      <c r="P108" s="7">
        <v>0</v>
      </c>
      <c r="Q108" s="6">
        <v>46311</v>
      </c>
    </row>
    <row r="109" spans="1:17" ht="42" thickBot="1" x14ac:dyDescent="0.35">
      <c r="A109" s="9" t="s">
        <v>149</v>
      </c>
      <c r="B109" s="9" t="s">
        <v>164</v>
      </c>
      <c r="C109" s="9" t="s">
        <v>151</v>
      </c>
      <c r="D109" s="10">
        <v>44636</v>
      </c>
      <c r="E109" s="9" t="s">
        <v>60</v>
      </c>
      <c r="F109" s="9">
        <v>0</v>
      </c>
      <c r="G109" s="9"/>
      <c r="H109" s="9"/>
      <c r="I109" s="9"/>
      <c r="J109" s="9"/>
      <c r="K109" s="9"/>
      <c r="L109" s="9"/>
      <c r="M109" s="12">
        <v>15472402.68</v>
      </c>
      <c r="N109" s="11">
        <v>2.0000000000000001E-4</v>
      </c>
      <c r="O109" s="9">
        <v>875</v>
      </c>
      <c r="P109" s="11">
        <v>1.1999999999999999E-3</v>
      </c>
      <c r="Q109" s="10">
        <v>46311</v>
      </c>
    </row>
    <row r="110" spans="1:17" ht="55.8" thickBot="1" x14ac:dyDescent="0.35">
      <c r="A110" s="5" t="s">
        <v>149</v>
      </c>
      <c r="B110" s="5" t="s">
        <v>165</v>
      </c>
      <c r="C110" s="5" t="s">
        <v>151</v>
      </c>
      <c r="D110" s="6">
        <v>44636</v>
      </c>
      <c r="E110" s="5" t="s">
        <v>60</v>
      </c>
      <c r="F110" s="5">
        <v>11.80230968</v>
      </c>
      <c r="G110" s="7">
        <v>2.3599999999999999E-2</v>
      </c>
      <c r="H110" s="7">
        <v>7.7799999999999994E-2</v>
      </c>
      <c r="I110" s="7">
        <v>6.5000000000000002E-2</v>
      </c>
      <c r="J110" s="7">
        <v>6.2199999999999998E-2</v>
      </c>
      <c r="K110" s="7">
        <v>-5.7099999999999998E-2</v>
      </c>
      <c r="L110" s="5"/>
      <c r="M110" s="5"/>
      <c r="N110" s="5"/>
      <c r="O110" s="5">
        <v>16</v>
      </c>
      <c r="P110" s="7">
        <v>0</v>
      </c>
      <c r="Q110" s="6">
        <v>46311</v>
      </c>
    </row>
    <row r="111" spans="1:17" ht="55.8" thickBot="1" x14ac:dyDescent="0.35">
      <c r="A111" s="9" t="s">
        <v>149</v>
      </c>
      <c r="B111" s="9" t="s">
        <v>166</v>
      </c>
      <c r="C111" s="9" t="s">
        <v>151</v>
      </c>
      <c r="D111" s="10">
        <v>44636</v>
      </c>
      <c r="E111" s="9" t="s">
        <v>60</v>
      </c>
      <c r="F111" s="9">
        <v>11.660195420000001</v>
      </c>
      <c r="G111" s="11">
        <v>2.1499999999999998E-2</v>
      </c>
      <c r="H111" s="11">
        <v>7.3200000000000001E-2</v>
      </c>
      <c r="I111" s="11">
        <v>6.2E-2</v>
      </c>
      <c r="J111" s="11">
        <v>6.0600000000000001E-2</v>
      </c>
      <c r="K111" s="11">
        <v>-5.8400000000000001E-2</v>
      </c>
      <c r="L111" s="9"/>
      <c r="M111" s="9"/>
      <c r="N111" s="9"/>
      <c r="O111" s="9">
        <v>861</v>
      </c>
      <c r="P111" s="11">
        <v>1.1000000000000001E-3</v>
      </c>
      <c r="Q111" s="10">
        <v>46311</v>
      </c>
    </row>
    <row r="112" spans="1:17" ht="55.8" thickBot="1" x14ac:dyDescent="0.35">
      <c r="A112" s="5" t="s">
        <v>149</v>
      </c>
      <c r="B112" s="5" t="s">
        <v>167</v>
      </c>
      <c r="C112" s="5" t="s">
        <v>151</v>
      </c>
      <c r="D112" s="6">
        <v>44636</v>
      </c>
      <c r="E112" s="5" t="s">
        <v>60</v>
      </c>
      <c r="F112" s="5">
        <v>10.12273914</v>
      </c>
      <c r="G112" s="5"/>
      <c r="H112" s="5"/>
      <c r="I112" s="7">
        <v>-1</v>
      </c>
      <c r="J112" s="7">
        <v>6.4100000000000004E-2</v>
      </c>
      <c r="K112" s="7">
        <v>-5.57E-2</v>
      </c>
      <c r="L112" s="5"/>
      <c r="M112" s="5"/>
      <c r="N112" s="5"/>
      <c r="O112" s="5">
        <v>1</v>
      </c>
      <c r="P112" s="7">
        <v>0</v>
      </c>
      <c r="Q112" s="6">
        <v>45397</v>
      </c>
    </row>
    <row r="113" spans="1:17" ht="69.599999999999994" thickBot="1" x14ac:dyDescent="0.35">
      <c r="A113" s="9" t="s">
        <v>149</v>
      </c>
      <c r="B113" s="9" t="s">
        <v>168</v>
      </c>
      <c r="C113" s="9" t="s">
        <v>169</v>
      </c>
      <c r="D113" s="10">
        <v>46195</v>
      </c>
      <c r="E113" s="9" t="s">
        <v>60</v>
      </c>
      <c r="F113" s="9">
        <v>100.46978252</v>
      </c>
      <c r="G113" s="11">
        <v>4.7000000000000002E-3</v>
      </c>
      <c r="H113" s="9"/>
      <c r="I113" s="9"/>
      <c r="J113" s="9"/>
      <c r="K113" s="9"/>
      <c r="L113" s="9"/>
      <c r="M113" s="12">
        <v>10682796.16</v>
      </c>
      <c r="N113" s="11">
        <v>2.0000000000000001E-4</v>
      </c>
      <c r="O113" s="9">
        <v>13</v>
      </c>
      <c r="P113" s="11">
        <v>0</v>
      </c>
      <c r="Q113" s="10">
        <v>46311</v>
      </c>
    </row>
    <row r="114" spans="1:17" ht="69.599999999999994" thickBot="1" x14ac:dyDescent="0.35">
      <c r="A114" s="5" t="s">
        <v>149</v>
      </c>
      <c r="B114" s="5" t="s">
        <v>170</v>
      </c>
      <c r="C114" s="5" t="s">
        <v>18</v>
      </c>
      <c r="D114" s="6">
        <v>43677</v>
      </c>
      <c r="E114" s="5" t="s">
        <v>68</v>
      </c>
      <c r="F114" s="5">
        <v>135.17760527999999</v>
      </c>
      <c r="G114" s="7">
        <v>2.3599999999999999E-2</v>
      </c>
      <c r="H114" s="7">
        <v>8.0299999999999996E-2</v>
      </c>
      <c r="I114" s="7">
        <v>9.74E-2</v>
      </c>
      <c r="J114" s="7">
        <v>0.13619999999999999</v>
      </c>
      <c r="K114" s="7">
        <v>-5.3900000000000003E-2</v>
      </c>
      <c r="L114" s="7">
        <v>-3.7699999999999997E-2</v>
      </c>
      <c r="M114" s="8">
        <v>196353787.00999999</v>
      </c>
      <c r="N114" s="7">
        <v>3.0000000000000001E-3</v>
      </c>
      <c r="O114" s="8">
        <v>1436</v>
      </c>
      <c r="P114" s="7">
        <v>1.9E-3</v>
      </c>
      <c r="Q114" s="6">
        <v>46311</v>
      </c>
    </row>
    <row r="115" spans="1:17" ht="55.8" thickBot="1" x14ac:dyDescent="0.35">
      <c r="A115" s="9" t="s">
        <v>149</v>
      </c>
      <c r="B115" s="9" t="s">
        <v>171</v>
      </c>
      <c r="C115" s="9" t="s">
        <v>18</v>
      </c>
      <c r="D115" s="10">
        <v>45097</v>
      </c>
      <c r="E115" s="9" t="s">
        <v>60</v>
      </c>
      <c r="F115" s="9">
        <v>45.027932999999997</v>
      </c>
      <c r="G115" s="11">
        <v>5.4999999999999997E-3</v>
      </c>
      <c r="H115" s="11">
        <v>-0.5887</v>
      </c>
      <c r="I115" s="11">
        <v>6.0699999999999997E-2</v>
      </c>
      <c r="J115" s="11">
        <v>3.8199999999999998E-2</v>
      </c>
      <c r="K115" s="9"/>
      <c r="L115" s="9"/>
      <c r="M115" s="12">
        <v>137180148.97999999</v>
      </c>
      <c r="N115" s="11">
        <v>2.0999999999999999E-3</v>
      </c>
      <c r="O115" s="9">
        <v>2</v>
      </c>
      <c r="P115" s="11">
        <v>0</v>
      </c>
      <c r="Q115" s="10">
        <v>46311</v>
      </c>
    </row>
    <row r="116" spans="1:17" ht="55.8" thickBot="1" x14ac:dyDescent="0.35">
      <c r="A116" s="5" t="s">
        <v>149</v>
      </c>
      <c r="B116" s="5" t="s">
        <v>172</v>
      </c>
      <c r="C116" s="5" t="s">
        <v>173</v>
      </c>
      <c r="D116" s="6">
        <v>44783</v>
      </c>
      <c r="E116" s="5" t="s">
        <v>68</v>
      </c>
      <c r="F116" s="5">
        <v>1272.0737999999999</v>
      </c>
      <c r="G116" s="7">
        <v>4.1599999999999998E-2</v>
      </c>
      <c r="H116" s="7">
        <v>5.5100000000000003E-2</v>
      </c>
      <c r="I116" s="7">
        <v>6.1600000000000002E-2</v>
      </c>
      <c r="J116" s="7">
        <v>6.25E-2</v>
      </c>
      <c r="K116" s="7">
        <v>2.3599999999999999E-2</v>
      </c>
      <c r="L116" s="5"/>
      <c r="M116" s="8">
        <v>13401454.060000001</v>
      </c>
      <c r="N116" s="7">
        <v>2.0000000000000001E-4</v>
      </c>
      <c r="O116" s="5">
        <v>31</v>
      </c>
      <c r="P116" s="7">
        <v>0</v>
      </c>
      <c r="Q116" s="6">
        <v>46311</v>
      </c>
    </row>
    <row r="117" spans="1:17" ht="69.599999999999994" thickBot="1" x14ac:dyDescent="0.35">
      <c r="A117" s="9" t="s">
        <v>149</v>
      </c>
      <c r="B117" s="9" t="s">
        <v>174</v>
      </c>
      <c r="C117" s="9" t="s">
        <v>18</v>
      </c>
      <c r="D117" s="10">
        <v>44172</v>
      </c>
      <c r="E117" s="9" t="s">
        <v>68</v>
      </c>
      <c r="F117" s="9">
        <v>113.53776259999999</v>
      </c>
      <c r="G117" s="11">
        <v>0.1229</v>
      </c>
      <c r="H117" s="11">
        <v>-0.22239999999999999</v>
      </c>
      <c r="I117" s="11">
        <v>7.4499999999999997E-2</v>
      </c>
      <c r="J117" s="11">
        <v>8.2900000000000001E-2</v>
      </c>
      <c r="K117" s="11">
        <v>6.7299999999999999E-2</v>
      </c>
      <c r="L117" s="11">
        <v>4.1799999999999997E-2</v>
      </c>
      <c r="M117" s="12">
        <v>66610425.759999998</v>
      </c>
      <c r="N117" s="11">
        <v>1E-3</v>
      </c>
      <c r="O117" s="9">
        <v>2</v>
      </c>
      <c r="P117" s="11">
        <v>0</v>
      </c>
      <c r="Q117" s="10">
        <v>46311</v>
      </c>
    </row>
    <row r="118" spans="1:17" ht="69.599999999999994" thickBot="1" x14ac:dyDescent="0.35">
      <c r="A118" s="5" t="s">
        <v>149</v>
      </c>
      <c r="B118" s="5" t="s">
        <v>175</v>
      </c>
      <c r="C118" s="5" t="s">
        <v>63</v>
      </c>
      <c r="D118" s="6">
        <v>45798</v>
      </c>
      <c r="E118" s="5" t="s">
        <v>60</v>
      </c>
      <c r="F118" s="5">
        <v>0</v>
      </c>
      <c r="G118" s="5"/>
      <c r="H118" s="5"/>
      <c r="I118" s="5"/>
      <c r="J118" s="5"/>
      <c r="K118" s="5"/>
      <c r="L118" s="5"/>
      <c r="M118" s="8">
        <v>28775388.91</v>
      </c>
      <c r="N118" s="7">
        <v>4.0000000000000002E-4</v>
      </c>
      <c r="O118" s="5">
        <v>42</v>
      </c>
      <c r="P118" s="7">
        <v>1E-4</v>
      </c>
      <c r="Q118" s="6">
        <v>46311</v>
      </c>
    </row>
    <row r="119" spans="1:17" ht="83.4" thickBot="1" x14ac:dyDescent="0.35">
      <c r="A119" s="9" t="s">
        <v>149</v>
      </c>
      <c r="B119" s="9" t="s">
        <v>176</v>
      </c>
      <c r="C119" s="9" t="s">
        <v>63</v>
      </c>
      <c r="D119" s="10">
        <v>45798</v>
      </c>
      <c r="E119" s="9" t="s">
        <v>60</v>
      </c>
      <c r="F119" s="9">
        <v>109.94813870999999</v>
      </c>
      <c r="G119" s="11">
        <v>9.1200000000000003E-2</v>
      </c>
      <c r="H119" s="9"/>
      <c r="I119" s="9"/>
      <c r="J119" s="9"/>
      <c r="K119" s="9"/>
      <c r="L119" s="9"/>
      <c r="M119" s="9"/>
      <c r="N119" s="9"/>
      <c r="O119" s="9">
        <v>3</v>
      </c>
      <c r="P119" s="11">
        <v>0</v>
      </c>
      <c r="Q119" s="10">
        <v>46311</v>
      </c>
    </row>
    <row r="120" spans="1:17" ht="83.4" thickBot="1" x14ac:dyDescent="0.35">
      <c r="A120" s="5" t="s">
        <v>149</v>
      </c>
      <c r="B120" s="5" t="s">
        <v>177</v>
      </c>
      <c r="C120" s="5" t="s">
        <v>63</v>
      </c>
      <c r="D120" s="6">
        <v>45798</v>
      </c>
      <c r="E120" s="5" t="s">
        <v>60</v>
      </c>
      <c r="F120" s="5">
        <v>121.28141612</v>
      </c>
      <c r="G120" s="7">
        <v>8.9099999999999999E-2</v>
      </c>
      <c r="H120" s="7">
        <v>0.1135</v>
      </c>
      <c r="I120" s="5"/>
      <c r="J120" s="5"/>
      <c r="K120" s="5"/>
      <c r="L120" s="5"/>
      <c r="M120" s="5"/>
      <c r="N120" s="5"/>
      <c r="O120" s="5">
        <v>39</v>
      </c>
      <c r="P120" s="7">
        <v>1E-4</v>
      </c>
      <c r="Q120" s="6">
        <v>46311</v>
      </c>
    </row>
    <row r="121" spans="1:17" ht="55.8" thickBot="1" x14ac:dyDescent="0.35">
      <c r="A121" s="9" t="s">
        <v>149</v>
      </c>
      <c r="B121" s="9" t="s">
        <v>178</v>
      </c>
      <c r="C121" s="9" t="s">
        <v>63</v>
      </c>
      <c r="D121" s="10">
        <v>43249</v>
      </c>
      <c r="E121" s="9" t="s">
        <v>60</v>
      </c>
      <c r="F121" s="9">
        <v>0</v>
      </c>
      <c r="G121" s="9"/>
      <c r="H121" s="9"/>
      <c r="I121" s="9"/>
      <c r="J121" s="9"/>
      <c r="K121" s="9"/>
      <c r="L121" s="9"/>
      <c r="M121" s="12">
        <v>51218548.649999999</v>
      </c>
      <c r="N121" s="11">
        <v>8.0000000000000004E-4</v>
      </c>
      <c r="O121" s="9">
        <v>32</v>
      </c>
      <c r="P121" s="11">
        <v>0</v>
      </c>
      <c r="Q121" s="10">
        <v>46311</v>
      </c>
    </row>
    <row r="122" spans="1:17" ht="69.599999999999994" thickBot="1" x14ac:dyDescent="0.35">
      <c r="A122" s="5" t="s">
        <v>149</v>
      </c>
      <c r="B122" s="5" t="s">
        <v>179</v>
      </c>
      <c r="C122" s="5" t="s">
        <v>63</v>
      </c>
      <c r="D122" s="6">
        <v>43249</v>
      </c>
      <c r="E122" s="5" t="s">
        <v>60</v>
      </c>
      <c r="F122" s="5">
        <v>118.46449241000001</v>
      </c>
      <c r="G122" s="7">
        <v>3.32E-2</v>
      </c>
      <c r="H122" s="7">
        <v>8.8800000000000004E-2</v>
      </c>
      <c r="I122" s="7">
        <v>2.3199999999999998E-2</v>
      </c>
      <c r="J122" s="7">
        <v>4.4699999999999997E-2</v>
      </c>
      <c r="K122" s="7">
        <v>-0.1174</v>
      </c>
      <c r="L122" s="7">
        <v>-1.9400000000000001E-2</v>
      </c>
      <c r="M122" s="5"/>
      <c r="N122" s="5"/>
      <c r="O122" s="5">
        <v>4</v>
      </c>
      <c r="P122" s="7">
        <v>0</v>
      </c>
      <c r="Q122" s="6">
        <v>46311</v>
      </c>
    </row>
    <row r="123" spans="1:17" ht="69.599999999999994" thickBot="1" x14ac:dyDescent="0.35">
      <c r="A123" s="9" t="s">
        <v>149</v>
      </c>
      <c r="B123" s="9" t="s">
        <v>180</v>
      </c>
      <c r="C123" s="9" t="s">
        <v>63</v>
      </c>
      <c r="D123" s="10">
        <v>43249</v>
      </c>
      <c r="E123" s="9" t="s">
        <v>60</v>
      </c>
      <c r="F123" s="9">
        <v>117.23868668999999</v>
      </c>
      <c r="G123" s="11">
        <v>3.27E-2</v>
      </c>
      <c r="H123" s="11">
        <v>8.8200000000000001E-2</v>
      </c>
      <c r="I123" s="11">
        <v>2.1999999999999999E-2</v>
      </c>
      <c r="J123" s="11">
        <v>4.3499999999999997E-2</v>
      </c>
      <c r="K123" s="11">
        <v>-0.11840000000000001</v>
      </c>
      <c r="L123" s="11">
        <v>-2.0500000000000001E-2</v>
      </c>
      <c r="M123" s="9"/>
      <c r="N123" s="9"/>
      <c r="O123" s="9">
        <v>5</v>
      </c>
      <c r="P123" s="11">
        <v>0</v>
      </c>
      <c r="Q123" s="10">
        <v>46311</v>
      </c>
    </row>
    <row r="124" spans="1:17" ht="69.599999999999994" thickBot="1" x14ac:dyDescent="0.35">
      <c r="A124" s="5" t="s">
        <v>149</v>
      </c>
      <c r="B124" s="5" t="s">
        <v>181</v>
      </c>
      <c r="C124" s="5" t="s">
        <v>63</v>
      </c>
      <c r="D124" s="6">
        <v>43249</v>
      </c>
      <c r="E124" s="5" t="s">
        <v>60</v>
      </c>
      <c r="F124" s="5">
        <v>115.7024921</v>
      </c>
      <c r="G124" s="7">
        <v>3.2199999999999999E-2</v>
      </c>
      <c r="H124" s="7">
        <v>8.7499999999999994E-2</v>
      </c>
      <c r="I124" s="7">
        <v>2.0899999999999998E-2</v>
      </c>
      <c r="J124" s="7">
        <v>4.2299999999999997E-2</v>
      </c>
      <c r="K124" s="7">
        <v>-0.11940000000000001</v>
      </c>
      <c r="L124" s="7">
        <v>-2.1700000000000001E-2</v>
      </c>
      <c r="M124" s="5"/>
      <c r="N124" s="5"/>
      <c r="O124" s="5">
        <v>23</v>
      </c>
      <c r="P124" s="7">
        <v>0</v>
      </c>
      <c r="Q124" s="6">
        <v>46311</v>
      </c>
    </row>
    <row r="125" spans="1:17" ht="69.599999999999994" thickBot="1" x14ac:dyDescent="0.35">
      <c r="A125" s="9" t="s">
        <v>149</v>
      </c>
      <c r="B125" s="9" t="s">
        <v>182</v>
      </c>
      <c r="C125" s="9" t="s">
        <v>183</v>
      </c>
      <c r="D125" s="10">
        <v>44196</v>
      </c>
      <c r="E125" s="9" t="s">
        <v>60</v>
      </c>
      <c r="F125" s="9">
        <v>129.66685677000001</v>
      </c>
      <c r="G125" s="11">
        <v>2.9700000000000001E-2</v>
      </c>
      <c r="H125" s="11">
        <v>0.1188</v>
      </c>
      <c r="I125" s="11">
        <v>8.7900000000000006E-2</v>
      </c>
      <c r="J125" s="11">
        <v>8.2900000000000001E-2</v>
      </c>
      <c r="K125" s="11">
        <v>-8.8099999999999998E-2</v>
      </c>
      <c r="L125" s="11">
        <v>4.7199999999999999E-2</v>
      </c>
      <c r="M125" s="12">
        <v>136984494.88</v>
      </c>
      <c r="N125" s="11">
        <v>2.0999999999999999E-3</v>
      </c>
      <c r="O125" s="12">
        <v>2548</v>
      </c>
      <c r="P125" s="11">
        <v>3.3999999999999998E-3</v>
      </c>
      <c r="Q125" s="10">
        <v>46311</v>
      </c>
    </row>
    <row r="126" spans="1:17" ht="42" thickBot="1" x14ac:dyDescent="0.35">
      <c r="A126" s="5" t="s">
        <v>149</v>
      </c>
      <c r="B126" s="5" t="s">
        <v>184</v>
      </c>
      <c r="C126" s="5" t="s">
        <v>31</v>
      </c>
      <c r="D126" s="6">
        <v>44557</v>
      </c>
      <c r="E126" s="5" t="s">
        <v>60</v>
      </c>
      <c r="F126" s="5">
        <v>56.405500000000004</v>
      </c>
      <c r="G126" s="7">
        <v>1.9699999999999999E-2</v>
      </c>
      <c r="H126" s="7">
        <v>0.1099</v>
      </c>
      <c r="I126" s="7">
        <v>6.6799999999999998E-2</v>
      </c>
      <c r="J126" s="7">
        <v>8.3199999999999996E-2</v>
      </c>
      <c r="K126" s="7">
        <v>-0.13850000000000001</v>
      </c>
      <c r="L126" s="7">
        <v>-2.9999999999999997E-4</v>
      </c>
      <c r="M126" s="8">
        <v>72752879.090000004</v>
      </c>
      <c r="N126" s="7">
        <v>1.1000000000000001E-3</v>
      </c>
      <c r="O126" s="8">
        <v>1171</v>
      </c>
      <c r="P126" s="7">
        <v>1.5E-3</v>
      </c>
      <c r="Q126" s="6">
        <v>46311</v>
      </c>
    </row>
    <row r="127" spans="1:17" ht="42" thickBot="1" x14ac:dyDescent="0.35">
      <c r="A127" s="9" t="s">
        <v>149</v>
      </c>
      <c r="B127" s="9" t="s">
        <v>185</v>
      </c>
      <c r="C127" s="9" t="s">
        <v>31</v>
      </c>
      <c r="D127" s="10">
        <v>44557</v>
      </c>
      <c r="E127" s="9" t="s">
        <v>68</v>
      </c>
      <c r="F127" s="9">
        <v>118.5628</v>
      </c>
      <c r="G127" s="11">
        <v>2.87E-2</v>
      </c>
      <c r="H127" s="11">
        <v>0.11070000000000001</v>
      </c>
      <c r="I127" s="11">
        <v>6.6199999999999995E-2</v>
      </c>
      <c r="J127" s="11">
        <v>0.1038</v>
      </c>
      <c r="K127" s="11">
        <v>-0.1201</v>
      </c>
      <c r="L127" s="11">
        <v>-5.0000000000000001E-4</v>
      </c>
      <c r="M127" s="12">
        <v>59328410.939999998</v>
      </c>
      <c r="N127" s="11">
        <v>8.9999999999999998E-4</v>
      </c>
      <c r="O127" s="12">
        <v>1467</v>
      </c>
      <c r="P127" s="11">
        <v>1.9E-3</v>
      </c>
      <c r="Q127" s="10">
        <v>46311</v>
      </c>
    </row>
    <row r="128" spans="1:17" ht="42" thickBot="1" x14ac:dyDescent="0.35">
      <c r="A128" s="5" t="s">
        <v>149</v>
      </c>
      <c r="B128" s="5" t="s">
        <v>186</v>
      </c>
      <c r="C128" s="5" t="s">
        <v>31</v>
      </c>
      <c r="D128" s="6">
        <v>39385</v>
      </c>
      <c r="E128" s="5" t="s">
        <v>68</v>
      </c>
      <c r="F128" s="5">
        <v>173.37559999999999</v>
      </c>
      <c r="G128" s="7">
        <v>2.4299999999999999E-2</v>
      </c>
      <c r="H128" s="7">
        <v>4.99E-2</v>
      </c>
      <c r="I128" s="7">
        <v>8.6199999999999999E-2</v>
      </c>
      <c r="J128" s="7">
        <v>6.8400000000000002E-2</v>
      </c>
      <c r="K128" s="7">
        <v>8.6E-3</v>
      </c>
      <c r="L128" s="7">
        <v>1.1000000000000001E-3</v>
      </c>
      <c r="M128" s="8">
        <v>66662027.609999999</v>
      </c>
      <c r="N128" s="7">
        <v>1E-3</v>
      </c>
      <c r="O128" s="5">
        <v>651</v>
      </c>
      <c r="P128" s="7">
        <v>8.9999999999999998E-4</v>
      </c>
      <c r="Q128" s="6">
        <v>46311</v>
      </c>
    </row>
    <row r="129" spans="1:17" ht="42" thickBot="1" x14ac:dyDescent="0.35">
      <c r="A129" s="9" t="s">
        <v>149</v>
      </c>
      <c r="B129" s="9" t="s">
        <v>187</v>
      </c>
      <c r="C129" s="9" t="s">
        <v>31</v>
      </c>
      <c r="D129" s="10">
        <v>42030</v>
      </c>
      <c r="E129" s="9" t="s">
        <v>60</v>
      </c>
      <c r="F129" s="9">
        <v>86.125100000000003</v>
      </c>
      <c r="G129" s="11">
        <v>6.0100000000000001E-2</v>
      </c>
      <c r="H129" s="11">
        <v>0.1613</v>
      </c>
      <c r="I129" s="11">
        <v>0.1061</v>
      </c>
      <c r="J129" s="11">
        <v>0.14050000000000001</v>
      </c>
      <c r="K129" s="11">
        <v>-0.20280000000000001</v>
      </c>
      <c r="L129" s="11">
        <v>0.11749999999999999</v>
      </c>
      <c r="M129" s="12">
        <v>39951037.57</v>
      </c>
      <c r="N129" s="11">
        <v>5.9999999999999995E-4</v>
      </c>
      <c r="O129" s="9">
        <v>907</v>
      </c>
      <c r="P129" s="11">
        <v>1.1999999999999999E-3</v>
      </c>
      <c r="Q129" s="10">
        <v>46311</v>
      </c>
    </row>
    <row r="130" spans="1:17" ht="55.8" thickBot="1" x14ac:dyDescent="0.35">
      <c r="A130" s="5" t="s">
        <v>149</v>
      </c>
      <c r="B130" s="5" t="s">
        <v>188</v>
      </c>
      <c r="C130" s="5" t="s">
        <v>31</v>
      </c>
      <c r="D130" s="6">
        <v>41614</v>
      </c>
      <c r="E130" s="5" t="s">
        <v>60</v>
      </c>
      <c r="F130" s="5">
        <v>0</v>
      </c>
      <c r="G130" s="5"/>
      <c r="H130" s="5"/>
      <c r="I130" s="5"/>
      <c r="J130" s="5"/>
      <c r="K130" s="5"/>
      <c r="L130" s="7">
        <v>-1</v>
      </c>
      <c r="M130" s="8">
        <v>814713180.01999998</v>
      </c>
      <c r="N130" s="7">
        <v>1.24E-2</v>
      </c>
      <c r="O130" s="8">
        <v>7519</v>
      </c>
      <c r="P130" s="7">
        <v>9.9000000000000008E-3</v>
      </c>
      <c r="Q130" s="6">
        <v>46311</v>
      </c>
    </row>
    <row r="131" spans="1:17" ht="55.8" thickBot="1" x14ac:dyDescent="0.35">
      <c r="A131" s="9" t="s">
        <v>149</v>
      </c>
      <c r="B131" s="9" t="s">
        <v>189</v>
      </c>
      <c r="C131" s="9" t="s">
        <v>31</v>
      </c>
      <c r="D131" s="10">
        <v>41614</v>
      </c>
      <c r="E131" s="9" t="s">
        <v>60</v>
      </c>
      <c r="F131" s="9">
        <v>63.753900000000002</v>
      </c>
      <c r="G131" s="11">
        <v>2.1299999999999999E-2</v>
      </c>
      <c r="H131" s="11">
        <v>4.2700000000000002E-2</v>
      </c>
      <c r="I131" s="11">
        <v>4.07E-2</v>
      </c>
      <c r="J131" s="11">
        <v>3.3599999999999998E-2</v>
      </c>
      <c r="K131" s="11">
        <v>1.44E-2</v>
      </c>
      <c r="L131" s="9"/>
      <c r="M131" s="9"/>
      <c r="N131" s="9"/>
      <c r="O131" s="12">
        <v>6647</v>
      </c>
      <c r="P131" s="11">
        <v>8.8000000000000005E-3</v>
      </c>
      <c r="Q131" s="10">
        <v>46311</v>
      </c>
    </row>
    <row r="132" spans="1:17" ht="55.8" thickBot="1" x14ac:dyDescent="0.35">
      <c r="A132" s="5" t="s">
        <v>149</v>
      </c>
      <c r="B132" s="5" t="s">
        <v>190</v>
      </c>
      <c r="C132" s="5" t="s">
        <v>31</v>
      </c>
      <c r="D132" s="6">
        <v>41614</v>
      </c>
      <c r="E132" s="5" t="s">
        <v>60</v>
      </c>
      <c r="F132" s="5">
        <v>64.416600000000003</v>
      </c>
      <c r="G132" s="7">
        <v>2.2800000000000001E-2</v>
      </c>
      <c r="H132" s="7">
        <v>4.4600000000000001E-2</v>
      </c>
      <c r="I132" s="7">
        <v>4.2500000000000003E-2</v>
      </c>
      <c r="J132" s="7">
        <v>3.5400000000000001E-2</v>
      </c>
      <c r="K132" s="7">
        <v>1.6199999999999999E-2</v>
      </c>
      <c r="L132" s="5"/>
      <c r="M132" s="5"/>
      <c r="N132" s="5"/>
      <c r="O132" s="5">
        <v>70</v>
      </c>
      <c r="P132" s="7">
        <v>1E-4</v>
      </c>
      <c r="Q132" s="6">
        <v>46311</v>
      </c>
    </row>
    <row r="133" spans="1:17" ht="55.8" thickBot="1" x14ac:dyDescent="0.35">
      <c r="A133" s="9" t="s">
        <v>149</v>
      </c>
      <c r="B133" s="9" t="s">
        <v>191</v>
      </c>
      <c r="C133" s="9" t="s">
        <v>31</v>
      </c>
      <c r="D133" s="10">
        <v>41614</v>
      </c>
      <c r="E133" s="9" t="s">
        <v>60</v>
      </c>
      <c r="F133" s="9">
        <v>63.842199999999998</v>
      </c>
      <c r="G133" s="11">
        <v>2.18E-2</v>
      </c>
      <c r="H133" s="11">
        <v>4.3299999999999998E-2</v>
      </c>
      <c r="I133" s="9"/>
      <c r="J133" s="9"/>
      <c r="K133" s="9"/>
      <c r="L133" s="9"/>
      <c r="M133" s="9"/>
      <c r="N133" s="9"/>
      <c r="O133" s="9">
        <v>802</v>
      </c>
      <c r="P133" s="11">
        <v>1.1000000000000001E-3</v>
      </c>
      <c r="Q133" s="10">
        <v>46311</v>
      </c>
    </row>
    <row r="134" spans="1:17" ht="55.8" thickBot="1" x14ac:dyDescent="0.35">
      <c r="A134" s="5" t="s">
        <v>149</v>
      </c>
      <c r="B134" s="5" t="s">
        <v>192</v>
      </c>
      <c r="C134" s="5" t="s">
        <v>31</v>
      </c>
      <c r="D134" s="6">
        <v>41229</v>
      </c>
      <c r="E134" s="5" t="s">
        <v>68</v>
      </c>
      <c r="F134" s="5">
        <v>0</v>
      </c>
      <c r="G134" s="5"/>
      <c r="H134" s="5"/>
      <c r="I134" s="5"/>
      <c r="J134" s="5"/>
      <c r="K134" s="5"/>
      <c r="L134" s="5"/>
      <c r="M134" s="8">
        <v>1074107346.8299999</v>
      </c>
      <c r="N134" s="7">
        <v>1.6400000000000001E-2</v>
      </c>
      <c r="O134" s="8">
        <v>16627</v>
      </c>
      <c r="P134" s="7">
        <v>2.1999999999999999E-2</v>
      </c>
      <c r="Q134" s="6">
        <v>46311</v>
      </c>
    </row>
    <row r="135" spans="1:17" ht="69.599999999999994" thickBot="1" x14ac:dyDescent="0.35">
      <c r="A135" s="9" t="s">
        <v>149</v>
      </c>
      <c r="B135" s="9" t="s">
        <v>193</v>
      </c>
      <c r="C135" s="9" t="s">
        <v>31</v>
      </c>
      <c r="D135" s="10">
        <v>41229</v>
      </c>
      <c r="E135" s="9" t="s">
        <v>68</v>
      </c>
      <c r="F135" s="9">
        <v>159.5247</v>
      </c>
      <c r="G135" s="11">
        <v>2.87E-2</v>
      </c>
      <c r="H135" s="11">
        <v>4.6100000000000002E-2</v>
      </c>
      <c r="I135" s="11">
        <v>5.3800000000000001E-2</v>
      </c>
      <c r="J135" s="11">
        <v>7.8E-2</v>
      </c>
      <c r="K135" s="11">
        <v>2.5999999999999999E-3</v>
      </c>
      <c r="L135" s="11">
        <v>-1.01E-2</v>
      </c>
      <c r="M135" s="9"/>
      <c r="N135" s="9"/>
      <c r="O135" s="12">
        <v>13734</v>
      </c>
      <c r="P135" s="11">
        <v>1.8100000000000002E-2</v>
      </c>
      <c r="Q135" s="10">
        <v>46311</v>
      </c>
    </row>
    <row r="136" spans="1:17" ht="69.599999999999994" thickBot="1" x14ac:dyDescent="0.35">
      <c r="A136" s="5" t="s">
        <v>149</v>
      </c>
      <c r="B136" s="5" t="s">
        <v>194</v>
      </c>
      <c r="C136" s="5" t="s">
        <v>31</v>
      </c>
      <c r="D136" s="6">
        <v>41229</v>
      </c>
      <c r="E136" s="5" t="s">
        <v>68</v>
      </c>
      <c r="F136" s="5">
        <v>160.7302</v>
      </c>
      <c r="G136" s="7">
        <v>0.03</v>
      </c>
      <c r="H136" s="7">
        <v>4.7300000000000002E-2</v>
      </c>
      <c r="I136" s="7">
        <v>5.5100000000000003E-2</v>
      </c>
      <c r="J136" s="7">
        <v>7.9200000000000007E-2</v>
      </c>
      <c r="K136" s="7">
        <v>3.8E-3</v>
      </c>
      <c r="L136" s="7">
        <v>-8.8999999999999999E-3</v>
      </c>
      <c r="M136" s="5"/>
      <c r="N136" s="5"/>
      <c r="O136" s="5">
        <v>34</v>
      </c>
      <c r="P136" s="7">
        <v>0</v>
      </c>
      <c r="Q136" s="6">
        <v>46311</v>
      </c>
    </row>
    <row r="137" spans="1:17" ht="69.599999999999994" thickBot="1" x14ac:dyDescent="0.35">
      <c r="A137" s="9" t="s">
        <v>149</v>
      </c>
      <c r="B137" s="9" t="s">
        <v>195</v>
      </c>
      <c r="C137" s="9" t="s">
        <v>31</v>
      </c>
      <c r="D137" s="10">
        <v>41229</v>
      </c>
      <c r="E137" s="9" t="s">
        <v>68</v>
      </c>
      <c r="F137" s="9">
        <v>159.77420000000001</v>
      </c>
      <c r="G137" s="11">
        <v>2.93E-2</v>
      </c>
      <c r="H137" s="11">
        <v>4.6699999999999998E-2</v>
      </c>
      <c r="I137" s="9"/>
      <c r="J137" s="9"/>
      <c r="K137" s="9"/>
      <c r="L137" s="9"/>
      <c r="M137" s="9"/>
      <c r="N137" s="9"/>
      <c r="O137" s="12">
        <v>2859</v>
      </c>
      <c r="P137" s="11">
        <v>3.8E-3</v>
      </c>
      <c r="Q137" s="10">
        <v>46311</v>
      </c>
    </row>
    <row r="138" spans="1:17" ht="42" thickBot="1" x14ac:dyDescent="0.35">
      <c r="A138" s="5" t="s">
        <v>149</v>
      </c>
      <c r="B138" s="5" t="s">
        <v>196</v>
      </c>
      <c r="C138" s="5" t="s">
        <v>31</v>
      </c>
      <c r="D138" s="6">
        <v>43097</v>
      </c>
      <c r="E138" s="5" t="s">
        <v>60</v>
      </c>
      <c r="F138" s="5">
        <v>78.120699999999999</v>
      </c>
      <c r="G138" s="7">
        <v>2.35E-2</v>
      </c>
      <c r="H138" s="7">
        <v>4.4200000000000003E-2</v>
      </c>
      <c r="I138" s="7">
        <v>4.1399999999999999E-2</v>
      </c>
      <c r="J138" s="7">
        <v>5.04E-2</v>
      </c>
      <c r="K138" s="7">
        <v>2.8199999999999999E-2</v>
      </c>
      <c r="L138" s="7">
        <v>2.1700000000000001E-2</v>
      </c>
      <c r="M138" s="8">
        <v>151200704.09</v>
      </c>
      <c r="N138" s="7">
        <v>2.3E-3</v>
      </c>
      <c r="O138" s="5">
        <v>835</v>
      </c>
      <c r="P138" s="7">
        <v>1.1000000000000001E-3</v>
      </c>
      <c r="Q138" s="6">
        <v>46311</v>
      </c>
    </row>
    <row r="139" spans="1:17" ht="55.8" thickBot="1" x14ac:dyDescent="0.35">
      <c r="A139" s="9" t="s">
        <v>149</v>
      </c>
      <c r="B139" s="9" t="s">
        <v>197</v>
      </c>
      <c r="C139" s="9" t="s">
        <v>31</v>
      </c>
      <c r="D139" s="10">
        <v>44321</v>
      </c>
      <c r="E139" s="9" t="s">
        <v>68</v>
      </c>
      <c r="F139" s="9">
        <v>0</v>
      </c>
      <c r="G139" s="9"/>
      <c r="H139" s="9"/>
      <c r="I139" s="9"/>
      <c r="J139" s="11">
        <v>-1</v>
      </c>
      <c r="K139" s="11">
        <v>0.1022</v>
      </c>
      <c r="L139" s="11">
        <v>9.98E-2</v>
      </c>
      <c r="M139" s="12">
        <v>733838823.91999996</v>
      </c>
      <c r="N139" s="11">
        <v>1.12E-2</v>
      </c>
      <c r="O139" s="12">
        <v>4978</v>
      </c>
      <c r="P139" s="11">
        <v>6.6E-3</v>
      </c>
      <c r="Q139" s="10">
        <v>46311</v>
      </c>
    </row>
    <row r="140" spans="1:17" ht="55.8" thickBot="1" x14ac:dyDescent="0.35">
      <c r="A140" s="5" t="s">
        <v>149</v>
      </c>
      <c r="B140" s="5" t="s">
        <v>198</v>
      </c>
      <c r="C140" s="5" t="s">
        <v>31</v>
      </c>
      <c r="D140" s="6">
        <v>44321</v>
      </c>
      <c r="E140" s="5" t="s">
        <v>68</v>
      </c>
      <c r="F140" s="5">
        <v>147.13659999999999</v>
      </c>
      <c r="G140" s="7">
        <v>3.2399999999999998E-2</v>
      </c>
      <c r="H140" s="7">
        <v>4.0599999999999997E-2</v>
      </c>
      <c r="I140" s="7">
        <v>5.0799999999999998E-2</v>
      </c>
      <c r="J140" s="5"/>
      <c r="K140" s="5"/>
      <c r="L140" s="5"/>
      <c r="M140" s="5"/>
      <c r="N140" s="5"/>
      <c r="O140" s="8">
        <v>4842</v>
      </c>
      <c r="P140" s="7">
        <v>6.4000000000000003E-3</v>
      </c>
      <c r="Q140" s="6">
        <v>46311</v>
      </c>
    </row>
    <row r="141" spans="1:17" ht="55.8" thickBot="1" x14ac:dyDescent="0.35">
      <c r="A141" s="9" t="s">
        <v>149</v>
      </c>
      <c r="B141" s="9" t="s">
        <v>199</v>
      </c>
      <c r="C141" s="9" t="s">
        <v>31</v>
      </c>
      <c r="D141" s="10">
        <v>44321</v>
      </c>
      <c r="E141" s="9" t="s">
        <v>68</v>
      </c>
      <c r="F141" s="9">
        <v>149.32859999999999</v>
      </c>
      <c r="G141" s="11">
        <v>3.6200000000000003E-2</v>
      </c>
      <c r="H141" s="11">
        <v>4.6399999999999997E-2</v>
      </c>
      <c r="I141" s="11">
        <v>5.5800000000000002E-2</v>
      </c>
      <c r="J141" s="9"/>
      <c r="K141" s="9"/>
      <c r="L141" s="9"/>
      <c r="M141" s="9"/>
      <c r="N141" s="9"/>
      <c r="O141" s="9">
        <v>136</v>
      </c>
      <c r="P141" s="11">
        <v>2.0000000000000001E-4</v>
      </c>
      <c r="Q141" s="10">
        <v>46311</v>
      </c>
    </row>
    <row r="142" spans="1:17" ht="69.599999999999994" thickBot="1" x14ac:dyDescent="0.35">
      <c r="A142" s="5" t="s">
        <v>149</v>
      </c>
      <c r="B142" s="5" t="s">
        <v>200</v>
      </c>
      <c r="C142" s="5" t="s">
        <v>80</v>
      </c>
      <c r="D142" s="6">
        <v>45068</v>
      </c>
      <c r="E142" s="5" t="s">
        <v>60</v>
      </c>
      <c r="F142" s="5">
        <v>0</v>
      </c>
      <c r="G142" s="5"/>
      <c r="H142" s="5"/>
      <c r="I142" s="5"/>
      <c r="J142" s="5"/>
      <c r="K142" s="5"/>
      <c r="L142" s="5"/>
      <c r="M142" s="8">
        <v>15242726.59</v>
      </c>
      <c r="N142" s="7">
        <v>2.0000000000000001E-4</v>
      </c>
      <c r="O142" s="5">
        <v>144</v>
      </c>
      <c r="P142" s="7">
        <v>2.0000000000000001E-4</v>
      </c>
      <c r="Q142" s="6">
        <v>46311</v>
      </c>
    </row>
    <row r="143" spans="1:17" ht="83.4" thickBot="1" x14ac:dyDescent="0.35">
      <c r="A143" s="9" t="s">
        <v>149</v>
      </c>
      <c r="B143" s="9" t="s">
        <v>201</v>
      </c>
      <c r="C143" s="9" t="s">
        <v>80</v>
      </c>
      <c r="D143" s="10">
        <v>45068</v>
      </c>
      <c r="E143" s="9" t="s">
        <v>60</v>
      </c>
      <c r="F143" s="9">
        <v>10.633942299999999</v>
      </c>
      <c r="G143" s="11">
        <v>8.0000000000000004E-4</v>
      </c>
      <c r="H143" s="11">
        <v>6.2399999999999997E-2</v>
      </c>
      <c r="I143" s="11">
        <v>-1.34E-2</v>
      </c>
      <c r="J143" s="11">
        <v>1.32E-2</v>
      </c>
      <c r="K143" s="9"/>
      <c r="L143" s="9"/>
      <c r="M143" s="9"/>
      <c r="N143" s="9"/>
      <c r="O143" s="9">
        <v>133</v>
      </c>
      <c r="P143" s="11">
        <v>2.0000000000000001E-4</v>
      </c>
      <c r="Q143" s="10">
        <v>46311</v>
      </c>
    </row>
    <row r="144" spans="1:17" ht="83.4" thickBot="1" x14ac:dyDescent="0.35">
      <c r="A144" s="5" t="s">
        <v>149</v>
      </c>
      <c r="B144" s="5" t="s">
        <v>202</v>
      </c>
      <c r="C144" s="5" t="s">
        <v>80</v>
      </c>
      <c r="D144" s="6">
        <v>45068</v>
      </c>
      <c r="E144" s="5" t="s">
        <v>60</v>
      </c>
      <c r="F144" s="5">
        <v>10.087222219999999</v>
      </c>
      <c r="G144" s="7">
        <v>4.1000000000000003E-3</v>
      </c>
      <c r="H144" s="7">
        <v>-8.0000000000000002E-3</v>
      </c>
      <c r="I144" s="7">
        <v>-5.7999999999999996E-3</v>
      </c>
      <c r="J144" s="7">
        <v>1.89E-2</v>
      </c>
      <c r="K144" s="5"/>
      <c r="L144" s="5"/>
      <c r="M144" s="5"/>
      <c r="N144" s="5"/>
      <c r="O144" s="5">
        <v>11</v>
      </c>
      <c r="P144" s="7">
        <v>0</v>
      </c>
      <c r="Q144" s="6">
        <v>46311</v>
      </c>
    </row>
    <row r="145" spans="1:17" ht="55.8" thickBot="1" x14ac:dyDescent="0.35">
      <c r="A145" s="9" t="s">
        <v>149</v>
      </c>
      <c r="B145" s="9" t="s">
        <v>203</v>
      </c>
      <c r="C145" s="9" t="s">
        <v>80</v>
      </c>
      <c r="D145" s="10">
        <v>46182</v>
      </c>
      <c r="E145" s="9" t="s">
        <v>68</v>
      </c>
      <c r="F145" s="9">
        <v>0</v>
      </c>
      <c r="G145" s="9"/>
      <c r="H145" s="9"/>
      <c r="I145" s="9"/>
      <c r="J145" s="9"/>
      <c r="K145" s="9"/>
      <c r="L145" s="9"/>
      <c r="M145" s="12">
        <v>6542662.6600000001</v>
      </c>
      <c r="N145" s="11">
        <v>1E-4</v>
      </c>
      <c r="O145" s="9">
        <v>51</v>
      </c>
      <c r="P145" s="11">
        <v>1E-4</v>
      </c>
      <c r="Q145" s="10">
        <v>46311</v>
      </c>
    </row>
    <row r="146" spans="1:17" ht="69.599999999999994" thickBot="1" x14ac:dyDescent="0.35">
      <c r="A146" s="5" t="s">
        <v>149</v>
      </c>
      <c r="B146" s="5" t="s">
        <v>204</v>
      </c>
      <c r="C146" s="5" t="s">
        <v>80</v>
      </c>
      <c r="D146" s="6">
        <v>46182</v>
      </c>
      <c r="E146" s="5" t="s">
        <v>68</v>
      </c>
      <c r="F146" s="5">
        <v>10.006541199999999</v>
      </c>
      <c r="G146" s="7">
        <v>-4.7000000000000002E-3</v>
      </c>
      <c r="H146" s="5"/>
      <c r="I146" s="5"/>
      <c r="J146" s="5"/>
      <c r="K146" s="5"/>
      <c r="L146" s="5"/>
      <c r="M146" s="5"/>
      <c r="N146" s="5"/>
      <c r="O146" s="5">
        <v>36</v>
      </c>
      <c r="P146" s="7">
        <v>0</v>
      </c>
      <c r="Q146" s="6">
        <v>46311</v>
      </c>
    </row>
    <row r="147" spans="1:17" ht="69.599999999999994" thickBot="1" x14ac:dyDescent="0.35">
      <c r="A147" s="9" t="s">
        <v>149</v>
      </c>
      <c r="B147" s="9" t="s">
        <v>205</v>
      </c>
      <c r="C147" s="9" t="s">
        <v>80</v>
      </c>
      <c r="D147" s="10">
        <v>46182</v>
      </c>
      <c r="E147" s="9" t="s">
        <v>68</v>
      </c>
      <c r="F147" s="9">
        <v>10.01785254</v>
      </c>
      <c r="G147" s="11">
        <v>-3.2000000000000002E-3</v>
      </c>
      <c r="H147" s="9"/>
      <c r="I147" s="9"/>
      <c r="J147" s="9"/>
      <c r="K147" s="9"/>
      <c r="L147" s="9"/>
      <c r="M147" s="9"/>
      <c r="N147" s="9"/>
      <c r="O147" s="9">
        <v>15</v>
      </c>
      <c r="P147" s="11">
        <v>0</v>
      </c>
      <c r="Q147" s="10">
        <v>46311</v>
      </c>
    </row>
    <row r="148" spans="1:17" ht="69.599999999999994" thickBot="1" x14ac:dyDescent="0.35">
      <c r="A148" s="5" t="s">
        <v>149</v>
      </c>
      <c r="B148" s="5" t="s">
        <v>206</v>
      </c>
      <c r="C148" s="5" t="s">
        <v>19</v>
      </c>
      <c r="D148" s="6">
        <v>40771</v>
      </c>
      <c r="E148" s="5" t="s">
        <v>68</v>
      </c>
      <c r="F148" s="5">
        <v>13.07709506</v>
      </c>
      <c r="G148" s="7">
        <v>2.3800000000000002E-2</v>
      </c>
      <c r="H148" s="7">
        <v>1.7999999999999999E-2</v>
      </c>
      <c r="I148" s="7">
        <v>5.6899999999999999E-2</v>
      </c>
      <c r="J148" s="7">
        <v>-0.12959999999999999</v>
      </c>
      <c r="K148" s="7">
        <v>1.09E-2</v>
      </c>
      <c r="L148" s="7">
        <v>8.8999999999999999E-3</v>
      </c>
      <c r="M148" s="8">
        <v>29597297.640000001</v>
      </c>
      <c r="N148" s="7">
        <v>5.0000000000000001E-4</v>
      </c>
      <c r="O148" s="8">
        <v>6696</v>
      </c>
      <c r="P148" s="7">
        <v>8.8000000000000005E-3</v>
      </c>
      <c r="Q148" s="6">
        <v>46311</v>
      </c>
    </row>
    <row r="149" spans="1:17" ht="55.8" thickBot="1" x14ac:dyDescent="0.35">
      <c r="A149" s="9" t="s">
        <v>149</v>
      </c>
      <c r="B149" s="9" t="s">
        <v>207</v>
      </c>
      <c r="C149" s="9" t="s">
        <v>19</v>
      </c>
      <c r="D149" s="10">
        <v>36957</v>
      </c>
      <c r="E149" s="9" t="s">
        <v>60</v>
      </c>
      <c r="F149" s="9">
        <v>17.237091379999999</v>
      </c>
      <c r="G149" s="11">
        <v>1.66E-2</v>
      </c>
      <c r="H149" s="11">
        <v>2.6800000000000001E-2</v>
      </c>
      <c r="I149" s="11">
        <v>4.4999999999999998E-2</v>
      </c>
      <c r="J149" s="11">
        <v>-3.1E-2</v>
      </c>
      <c r="K149" s="11">
        <v>-1.8599999999999998E-2</v>
      </c>
      <c r="L149" s="11">
        <v>9.4000000000000004E-3</v>
      </c>
      <c r="M149" s="12">
        <v>32834844.469999999</v>
      </c>
      <c r="N149" s="11">
        <v>5.0000000000000001E-4</v>
      </c>
      <c r="O149" s="12">
        <v>1556</v>
      </c>
      <c r="P149" s="11">
        <v>2.0999999999999999E-3</v>
      </c>
      <c r="Q149" s="10">
        <v>46311</v>
      </c>
    </row>
    <row r="150" spans="1:17" ht="55.8" thickBot="1" x14ac:dyDescent="0.35">
      <c r="A150" s="5" t="s">
        <v>149</v>
      </c>
      <c r="B150" s="5" t="s">
        <v>208</v>
      </c>
      <c r="C150" s="5" t="s">
        <v>19</v>
      </c>
      <c r="D150" s="6">
        <v>37063</v>
      </c>
      <c r="E150" s="5" t="s">
        <v>68</v>
      </c>
      <c r="F150" s="5">
        <v>20.887657239999999</v>
      </c>
      <c r="G150" s="7">
        <v>7.7000000000000002E-3</v>
      </c>
      <c r="H150" s="7">
        <v>-1.32E-2</v>
      </c>
      <c r="I150" s="7">
        <v>4.2599999999999999E-2</v>
      </c>
      <c r="J150" s="7">
        <v>-6.1899999999999997E-2</v>
      </c>
      <c r="K150" s="7">
        <v>-1.77E-2</v>
      </c>
      <c r="L150" s="7">
        <v>-5.4000000000000003E-3</v>
      </c>
      <c r="M150" s="8">
        <v>25262989.379999999</v>
      </c>
      <c r="N150" s="7">
        <v>4.0000000000000002E-4</v>
      </c>
      <c r="O150" s="8">
        <v>4458</v>
      </c>
      <c r="P150" s="7">
        <v>5.8999999999999999E-3</v>
      </c>
      <c r="Q150" s="6">
        <v>46311</v>
      </c>
    </row>
    <row r="151" spans="1:17" ht="69.599999999999994" thickBot="1" x14ac:dyDescent="0.35">
      <c r="A151" s="9" t="s">
        <v>149</v>
      </c>
      <c r="B151" s="9" t="s">
        <v>209</v>
      </c>
      <c r="C151" s="9" t="s">
        <v>19</v>
      </c>
      <c r="D151" s="10">
        <v>35248</v>
      </c>
      <c r="E151" s="9" t="s">
        <v>60</v>
      </c>
      <c r="F151" s="9">
        <v>19.528938929999999</v>
      </c>
      <c r="G151" s="11">
        <v>-3.2000000000000002E-3</v>
      </c>
      <c r="H151" s="11">
        <v>-5.4600000000000003E-2</v>
      </c>
      <c r="I151" s="11">
        <v>3.1800000000000002E-2</v>
      </c>
      <c r="J151" s="11">
        <v>3.39E-2</v>
      </c>
      <c r="K151" s="11">
        <v>-0.2472</v>
      </c>
      <c r="L151" s="11">
        <v>-4.7999999999999996E-3</v>
      </c>
      <c r="M151" s="12">
        <v>16001245.369999999</v>
      </c>
      <c r="N151" s="11">
        <v>2.0000000000000001E-4</v>
      </c>
      <c r="O151" s="12">
        <v>1329</v>
      </c>
      <c r="P151" s="11">
        <v>1.8E-3</v>
      </c>
      <c r="Q151" s="10">
        <v>46311</v>
      </c>
    </row>
    <row r="152" spans="1:17" ht="69.599999999999994" thickBot="1" x14ac:dyDescent="0.35">
      <c r="A152" s="5" t="s">
        <v>149</v>
      </c>
      <c r="B152" s="5" t="s">
        <v>210</v>
      </c>
      <c r="C152" s="5" t="s">
        <v>19</v>
      </c>
      <c r="D152" s="6">
        <v>39189</v>
      </c>
      <c r="E152" s="5" t="s">
        <v>68</v>
      </c>
      <c r="F152" s="5">
        <v>11.628985220000001</v>
      </c>
      <c r="G152" s="7">
        <v>-2.9999999999999997E-4</v>
      </c>
      <c r="H152" s="7">
        <v>-3.4599999999999999E-2</v>
      </c>
      <c r="I152" s="7">
        <v>1.55E-2</v>
      </c>
      <c r="J152" s="7">
        <v>-2.3E-3</v>
      </c>
      <c r="K152" s="7">
        <v>-0.30649999999999999</v>
      </c>
      <c r="L152" s="7">
        <v>-6.1999999999999998E-3</v>
      </c>
      <c r="M152" s="8">
        <v>6552046.71</v>
      </c>
      <c r="N152" s="7">
        <v>1E-4</v>
      </c>
      <c r="O152" s="8">
        <v>1448</v>
      </c>
      <c r="P152" s="7">
        <v>1.9E-3</v>
      </c>
      <c r="Q152" s="6">
        <v>46311</v>
      </c>
    </row>
    <row r="153" spans="1:17" ht="55.8" thickBot="1" x14ac:dyDescent="0.35">
      <c r="A153" s="9" t="s">
        <v>149</v>
      </c>
      <c r="B153" s="9" t="s">
        <v>211</v>
      </c>
      <c r="C153" s="9" t="s">
        <v>19</v>
      </c>
      <c r="D153" s="10">
        <v>45261</v>
      </c>
      <c r="E153" s="9" t="s">
        <v>60</v>
      </c>
      <c r="F153" s="9">
        <v>11.422642339999999</v>
      </c>
      <c r="G153" s="11">
        <v>2.24E-2</v>
      </c>
      <c r="H153" s="11">
        <v>4.4299999999999999E-2</v>
      </c>
      <c r="I153" s="11">
        <v>4.8800000000000003E-2</v>
      </c>
      <c r="J153" s="11">
        <v>5.7000000000000002E-3</v>
      </c>
      <c r="K153" s="9"/>
      <c r="L153" s="9"/>
      <c r="M153" s="12">
        <v>2662707148.4899998</v>
      </c>
      <c r="N153" s="11">
        <v>4.0500000000000001E-2</v>
      </c>
      <c r="O153" s="12">
        <v>9109</v>
      </c>
      <c r="P153" s="11">
        <v>1.2E-2</v>
      </c>
      <c r="Q153" s="10">
        <v>46311</v>
      </c>
    </row>
    <row r="154" spans="1:17" ht="55.8" thickBot="1" x14ac:dyDescent="0.35">
      <c r="A154" s="5" t="s">
        <v>149</v>
      </c>
      <c r="B154" s="5" t="s">
        <v>212</v>
      </c>
      <c r="C154" s="5" t="s">
        <v>19</v>
      </c>
      <c r="D154" s="6">
        <v>45350</v>
      </c>
      <c r="E154" s="5" t="s">
        <v>68</v>
      </c>
      <c r="F154" s="5">
        <v>11.3614645</v>
      </c>
      <c r="G154" s="7">
        <v>3.4299999999999997E-2</v>
      </c>
      <c r="H154" s="7">
        <v>4.8500000000000001E-2</v>
      </c>
      <c r="I154" s="7">
        <v>4.2700000000000002E-2</v>
      </c>
      <c r="J154" s="5"/>
      <c r="K154" s="5"/>
      <c r="L154" s="5"/>
      <c r="M154" s="8">
        <v>968052193.50999999</v>
      </c>
      <c r="N154" s="7">
        <v>1.47E-2</v>
      </c>
      <c r="O154" s="8">
        <v>10662</v>
      </c>
      <c r="P154" s="7">
        <v>1.41E-2</v>
      </c>
      <c r="Q154" s="6">
        <v>46311</v>
      </c>
    </row>
    <row r="155" spans="1:17" ht="55.8" thickBot="1" x14ac:dyDescent="0.35">
      <c r="A155" s="9" t="s">
        <v>149</v>
      </c>
      <c r="B155" s="9" t="s">
        <v>213</v>
      </c>
      <c r="C155" s="9" t="s">
        <v>19</v>
      </c>
      <c r="D155" s="10">
        <v>45904</v>
      </c>
      <c r="E155" s="9" t="s">
        <v>60</v>
      </c>
      <c r="F155" s="9">
        <v>1044.2566327100001</v>
      </c>
      <c r="G155" s="11">
        <v>-1.0500000000000001E-2</v>
      </c>
      <c r="H155" s="11">
        <v>5.4699999999999999E-2</v>
      </c>
      <c r="I155" s="9"/>
      <c r="J155" s="9"/>
      <c r="K155" s="9"/>
      <c r="L155" s="9"/>
      <c r="M155" s="12">
        <v>42139130.659999996</v>
      </c>
      <c r="N155" s="11">
        <v>5.9999999999999995E-4</v>
      </c>
      <c r="O155" s="9">
        <v>47</v>
      </c>
      <c r="P155" s="11">
        <v>1E-4</v>
      </c>
      <c r="Q155" s="10">
        <v>46311</v>
      </c>
    </row>
    <row r="156" spans="1:17" ht="55.8" thickBot="1" x14ac:dyDescent="0.35">
      <c r="A156" s="5" t="s">
        <v>149</v>
      </c>
      <c r="B156" s="5" t="s">
        <v>418</v>
      </c>
      <c r="C156" s="5" t="s">
        <v>19</v>
      </c>
      <c r="D156" s="6">
        <v>46302</v>
      </c>
      <c r="E156" s="5" t="s">
        <v>60</v>
      </c>
      <c r="F156" s="5">
        <v>1000.24109208</v>
      </c>
      <c r="G156" s="7">
        <v>-8.0000000000000004E-4</v>
      </c>
      <c r="H156" s="5"/>
      <c r="I156" s="5"/>
      <c r="J156" s="5"/>
      <c r="K156" s="5"/>
      <c r="L156" s="5"/>
      <c r="M156" s="8">
        <v>47820789.079999998</v>
      </c>
      <c r="N156" s="7">
        <v>6.9999999999999999E-4</v>
      </c>
      <c r="O156" s="5">
        <v>52</v>
      </c>
      <c r="P156" s="7">
        <v>1E-4</v>
      </c>
      <c r="Q156" s="6">
        <v>46311</v>
      </c>
    </row>
    <row r="157" spans="1:17" ht="55.8" thickBot="1" x14ac:dyDescent="0.35">
      <c r="A157" s="9" t="s">
        <v>149</v>
      </c>
      <c r="B157" s="9" t="s">
        <v>214</v>
      </c>
      <c r="C157" s="9" t="s">
        <v>19</v>
      </c>
      <c r="D157" s="10">
        <v>45041</v>
      </c>
      <c r="E157" s="9" t="s">
        <v>60</v>
      </c>
      <c r="F157" s="9">
        <v>1089.30876463</v>
      </c>
      <c r="G157" s="11">
        <v>-0.08</v>
      </c>
      <c r="H157" s="11">
        <v>2.5700000000000001E-2</v>
      </c>
      <c r="I157" s="11">
        <v>1.1299999999999999E-2</v>
      </c>
      <c r="J157" s="11">
        <v>0.1371</v>
      </c>
      <c r="K157" s="9"/>
      <c r="L157" s="9"/>
      <c r="M157" s="12">
        <v>9694483.1500000004</v>
      </c>
      <c r="N157" s="11">
        <v>1E-4</v>
      </c>
      <c r="O157" s="9">
        <v>12</v>
      </c>
      <c r="P157" s="11">
        <v>0</v>
      </c>
      <c r="Q157" s="10">
        <v>46311</v>
      </c>
    </row>
    <row r="158" spans="1:17" ht="55.8" thickBot="1" x14ac:dyDescent="0.35">
      <c r="A158" s="5" t="s">
        <v>149</v>
      </c>
      <c r="B158" s="5" t="s">
        <v>419</v>
      </c>
      <c r="C158" s="5" t="s">
        <v>19</v>
      </c>
      <c r="D158" s="6">
        <v>46262</v>
      </c>
      <c r="E158" s="5" t="s">
        <v>68</v>
      </c>
      <c r="F158" s="5">
        <v>1010.98376116</v>
      </c>
      <c r="G158" s="7">
        <v>8.3000000000000001E-3</v>
      </c>
      <c r="H158" s="5"/>
      <c r="I158" s="5"/>
      <c r="J158" s="5"/>
      <c r="K158" s="5"/>
      <c r="L158" s="5"/>
      <c r="M158" s="8">
        <v>42761183.840000004</v>
      </c>
      <c r="N158" s="7">
        <v>6.9999999999999999E-4</v>
      </c>
      <c r="O158" s="5">
        <v>16</v>
      </c>
      <c r="P158" s="7">
        <v>0</v>
      </c>
      <c r="Q158" s="6">
        <v>46311</v>
      </c>
    </row>
    <row r="159" spans="1:17" ht="42" thickBot="1" x14ac:dyDescent="0.35">
      <c r="A159" s="9" t="s">
        <v>149</v>
      </c>
      <c r="B159" s="9" t="s">
        <v>420</v>
      </c>
      <c r="C159" s="9" t="s">
        <v>19</v>
      </c>
      <c r="D159" s="10">
        <v>46308</v>
      </c>
      <c r="E159" s="9" t="s">
        <v>68</v>
      </c>
      <c r="F159" s="9">
        <v>1002.03273711</v>
      </c>
      <c r="G159" s="11">
        <v>2.9999999999999997E-4</v>
      </c>
      <c r="H159" s="9"/>
      <c r="I159" s="9"/>
      <c r="J159" s="9"/>
      <c r="K159" s="9"/>
      <c r="L159" s="9"/>
      <c r="M159" s="12">
        <v>55520547.130000003</v>
      </c>
      <c r="N159" s="11">
        <v>8.0000000000000004E-4</v>
      </c>
      <c r="O159" s="9">
        <v>16</v>
      </c>
      <c r="P159" s="11">
        <v>0</v>
      </c>
      <c r="Q159" s="10">
        <v>46311</v>
      </c>
    </row>
    <row r="160" spans="1:17" ht="42" thickBot="1" x14ac:dyDescent="0.35">
      <c r="A160" s="5" t="s">
        <v>149</v>
      </c>
      <c r="B160" s="5" t="s">
        <v>215</v>
      </c>
      <c r="C160" s="5" t="s">
        <v>19</v>
      </c>
      <c r="D160" s="6">
        <v>44908</v>
      </c>
      <c r="E160" s="5" t="s">
        <v>60</v>
      </c>
      <c r="F160" s="5">
        <v>1057.91378678</v>
      </c>
      <c r="G160" s="7">
        <v>-5.3800000000000001E-2</v>
      </c>
      <c r="H160" s="7">
        <v>-7.0000000000000001E-3</v>
      </c>
      <c r="I160" s="7">
        <v>-1.9800000000000002E-2</v>
      </c>
      <c r="J160" s="7">
        <v>0.19259999999999999</v>
      </c>
      <c r="K160" s="7">
        <v>-3.9800000000000002E-2</v>
      </c>
      <c r="L160" s="5"/>
      <c r="M160" s="8">
        <v>55394065.329999998</v>
      </c>
      <c r="N160" s="7">
        <v>8.0000000000000004E-4</v>
      </c>
      <c r="O160" s="5">
        <v>39</v>
      </c>
      <c r="P160" s="7">
        <v>1E-4</v>
      </c>
      <c r="Q160" s="6">
        <v>46311</v>
      </c>
    </row>
    <row r="161" spans="1:17" ht="55.8" thickBot="1" x14ac:dyDescent="0.35">
      <c r="A161" s="9" t="s">
        <v>149</v>
      </c>
      <c r="B161" s="9" t="s">
        <v>216</v>
      </c>
      <c r="C161" s="9" t="s">
        <v>19</v>
      </c>
      <c r="D161" s="10">
        <v>45810</v>
      </c>
      <c r="E161" s="9" t="s">
        <v>68</v>
      </c>
      <c r="F161" s="9">
        <v>1052.52224198</v>
      </c>
      <c r="G161" s="11">
        <v>-1</v>
      </c>
      <c r="H161" s="11">
        <v>2.7199999999999998E-2</v>
      </c>
      <c r="I161" s="9"/>
      <c r="J161" s="9"/>
      <c r="K161" s="9"/>
      <c r="L161" s="9"/>
      <c r="M161" s="12">
        <v>1218235.98</v>
      </c>
      <c r="N161" s="11">
        <v>0</v>
      </c>
      <c r="O161" s="9">
        <v>4</v>
      </c>
      <c r="P161" s="11">
        <v>0</v>
      </c>
      <c r="Q161" s="10">
        <v>46175</v>
      </c>
    </row>
    <row r="162" spans="1:17" ht="55.8" thickBot="1" x14ac:dyDescent="0.35">
      <c r="A162" s="5" t="s">
        <v>149</v>
      </c>
      <c r="B162" s="5" t="s">
        <v>217</v>
      </c>
      <c r="C162" s="5" t="s">
        <v>19</v>
      </c>
      <c r="D162" s="6">
        <v>46122</v>
      </c>
      <c r="E162" s="5" t="s">
        <v>68</v>
      </c>
      <c r="F162" s="5">
        <v>1030.24437109</v>
      </c>
      <c r="G162" s="7">
        <v>2.86E-2</v>
      </c>
      <c r="H162" s="5"/>
      <c r="I162" s="5"/>
      <c r="J162" s="5"/>
      <c r="K162" s="5"/>
      <c r="L162" s="5"/>
      <c r="M162" s="8">
        <v>84446051.079999998</v>
      </c>
      <c r="N162" s="7">
        <v>1.2999999999999999E-3</v>
      </c>
      <c r="O162" s="5">
        <v>12</v>
      </c>
      <c r="P162" s="7">
        <v>0</v>
      </c>
      <c r="Q162" s="6">
        <v>46311</v>
      </c>
    </row>
    <row r="163" spans="1:17" ht="55.8" thickBot="1" x14ac:dyDescent="0.35">
      <c r="A163" s="9" t="s">
        <v>149</v>
      </c>
      <c r="B163" s="9" t="s">
        <v>218</v>
      </c>
      <c r="C163" s="9" t="s">
        <v>19</v>
      </c>
      <c r="D163" s="10">
        <v>45055</v>
      </c>
      <c r="E163" s="9" t="s">
        <v>60</v>
      </c>
      <c r="F163" s="9">
        <v>1074.26401397</v>
      </c>
      <c r="G163" s="11">
        <v>-7.4700000000000003E-2</v>
      </c>
      <c r="H163" s="11">
        <v>1.7600000000000001E-2</v>
      </c>
      <c r="I163" s="11">
        <v>3.8999999999999998E-3</v>
      </c>
      <c r="J163" s="11">
        <v>0.13070000000000001</v>
      </c>
      <c r="K163" s="9"/>
      <c r="L163" s="9"/>
      <c r="M163" s="12">
        <v>23210643.010000002</v>
      </c>
      <c r="N163" s="11">
        <v>4.0000000000000002E-4</v>
      </c>
      <c r="O163" s="9">
        <v>28</v>
      </c>
      <c r="P163" s="11">
        <v>0</v>
      </c>
      <c r="Q163" s="10">
        <v>46311</v>
      </c>
    </row>
    <row r="164" spans="1:17" ht="55.8" thickBot="1" x14ac:dyDescent="0.35">
      <c r="A164" s="5" t="s">
        <v>149</v>
      </c>
      <c r="B164" s="5" t="s">
        <v>219</v>
      </c>
      <c r="C164" s="5" t="s">
        <v>19</v>
      </c>
      <c r="D164" s="6">
        <v>46191</v>
      </c>
      <c r="E164" s="5" t="s">
        <v>60</v>
      </c>
      <c r="F164" s="5">
        <v>1016.76783442</v>
      </c>
      <c r="G164" s="7">
        <v>1.43E-2</v>
      </c>
      <c r="H164" s="5"/>
      <c r="I164" s="5"/>
      <c r="J164" s="5"/>
      <c r="K164" s="5"/>
      <c r="L164" s="5"/>
      <c r="M164" s="8">
        <v>24025137.18</v>
      </c>
      <c r="N164" s="7">
        <v>4.0000000000000002E-4</v>
      </c>
      <c r="O164" s="5">
        <v>48</v>
      </c>
      <c r="P164" s="7">
        <v>1E-4</v>
      </c>
      <c r="Q164" s="6">
        <v>46311</v>
      </c>
    </row>
    <row r="165" spans="1:17" ht="55.8" thickBot="1" x14ac:dyDescent="0.35">
      <c r="A165" s="9" t="s">
        <v>149</v>
      </c>
      <c r="B165" s="9" t="s">
        <v>220</v>
      </c>
      <c r="C165" s="9" t="s">
        <v>19</v>
      </c>
      <c r="D165" s="10">
        <v>46176</v>
      </c>
      <c r="E165" s="9" t="s">
        <v>68</v>
      </c>
      <c r="F165" s="9">
        <v>1024.6973299399999</v>
      </c>
      <c r="G165" s="11">
        <v>2.4299999999999999E-2</v>
      </c>
      <c r="H165" s="9"/>
      <c r="I165" s="9"/>
      <c r="J165" s="9"/>
      <c r="K165" s="9"/>
      <c r="L165" s="9"/>
      <c r="M165" s="12">
        <v>81322811.239999995</v>
      </c>
      <c r="N165" s="11">
        <v>1.1999999999999999E-3</v>
      </c>
      <c r="O165" s="9">
        <v>12</v>
      </c>
      <c r="P165" s="11">
        <v>0</v>
      </c>
      <c r="Q165" s="10">
        <v>46311</v>
      </c>
    </row>
    <row r="166" spans="1:17" ht="69.599999999999994" thickBot="1" x14ac:dyDescent="0.35">
      <c r="A166" s="5" t="s">
        <v>149</v>
      </c>
      <c r="B166" s="5" t="s">
        <v>221</v>
      </c>
      <c r="C166" s="5" t="s">
        <v>19</v>
      </c>
      <c r="D166" s="6">
        <v>44685</v>
      </c>
      <c r="E166" s="5" t="s">
        <v>60</v>
      </c>
      <c r="F166" s="5">
        <v>1033.4771399700001</v>
      </c>
      <c r="G166" s="7">
        <v>-5.1299999999999998E-2</v>
      </c>
      <c r="H166" s="7">
        <v>-1.7100000000000001E-2</v>
      </c>
      <c r="I166" s="7">
        <v>-2.5999999999999999E-2</v>
      </c>
      <c r="J166" s="7">
        <v>8.4099999999999994E-2</v>
      </c>
      <c r="K166" s="7">
        <v>4.9099999999999998E-2</v>
      </c>
      <c r="L166" s="5"/>
      <c r="M166" s="8">
        <v>107358792.70999999</v>
      </c>
      <c r="N166" s="7">
        <v>1.6000000000000001E-3</v>
      </c>
      <c r="O166" s="5">
        <v>92</v>
      </c>
      <c r="P166" s="7">
        <v>1E-4</v>
      </c>
      <c r="Q166" s="6">
        <v>46311</v>
      </c>
    </row>
    <row r="167" spans="1:17" ht="69.599999999999994" thickBot="1" x14ac:dyDescent="0.35">
      <c r="A167" s="9" t="s">
        <v>149</v>
      </c>
      <c r="B167" s="9" t="s">
        <v>222</v>
      </c>
      <c r="C167" s="9" t="s">
        <v>19</v>
      </c>
      <c r="D167" s="10">
        <v>44789</v>
      </c>
      <c r="E167" s="9" t="s">
        <v>60</v>
      </c>
      <c r="F167" s="9">
        <v>1055.8614246499999</v>
      </c>
      <c r="G167" s="11">
        <v>-5.7500000000000002E-2</v>
      </c>
      <c r="H167" s="11">
        <v>-1.78E-2</v>
      </c>
      <c r="I167" s="11">
        <v>-2.4199999999999999E-2</v>
      </c>
      <c r="J167" s="11">
        <v>0.1472</v>
      </c>
      <c r="K167" s="11">
        <v>1.6799999999999999E-2</v>
      </c>
      <c r="L167" s="9"/>
      <c r="M167" s="12">
        <v>95573521.019999996</v>
      </c>
      <c r="N167" s="11">
        <v>1.5E-3</v>
      </c>
      <c r="O167" s="9">
        <v>58</v>
      </c>
      <c r="P167" s="11">
        <v>1E-4</v>
      </c>
      <c r="Q167" s="10">
        <v>46311</v>
      </c>
    </row>
    <row r="168" spans="1:17" ht="55.8" thickBot="1" x14ac:dyDescent="0.35">
      <c r="A168" s="5" t="s">
        <v>149</v>
      </c>
      <c r="B168" s="5" t="s">
        <v>223</v>
      </c>
      <c r="C168" s="5" t="s">
        <v>19</v>
      </c>
      <c r="D168" s="6">
        <v>45622</v>
      </c>
      <c r="E168" s="5" t="s">
        <v>60</v>
      </c>
      <c r="F168" s="5">
        <v>10.691558199999999</v>
      </c>
      <c r="G168" s="7">
        <v>4.8999999999999998E-3</v>
      </c>
      <c r="H168" s="7">
        <v>5.4399999999999997E-2</v>
      </c>
      <c r="I168" s="7">
        <v>5.0000000000000001E-4</v>
      </c>
      <c r="J168" s="5"/>
      <c r="K168" s="5"/>
      <c r="L168" s="5"/>
      <c r="M168" s="8">
        <v>652383268.30999994</v>
      </c>
      <c r="N168" s="7">
        <v>9.9000000000000008E-3</v>
      </c>
      <c r="O168" s="8">
        <v>1639</v>
      </c>
      <c r="P168" s="7">
        <v>2.2000000000000001E-3</v>
      </c>
      <c r="Q168" s="6">
        <v>46311</v>
      </c>
    </row>
    <row r="169" spans="1:17" ht="55.8" thickBot="1" x14ac:dyDescent="0.35">
      <c r="A169" s="9" t="s">
        <v>149</v>
      </c>
      <c r="B169" s="9" t="s">
        <v>224</v>
      </c>
      <c r="C169" s="9" t="s">
        <v>19</v>
      </c>
      <c r="D169" s="10">
        <v>45631</v>
      </c>
      <c r="E169" s="9" t="s">
        <v>68</v>
      </c>
      <c r="F169" s="9">
        <v>11.072438249999999</v>
      </c>
      <c r="G169" s="11">
        <v>2.53E-2</v>
      </c>
      <c r="H169" s="11">
        <v>6.4699999999999994E-2</v>
      </c>
      <c r="I169" s="11">
        <v>3.5000000000000001E-3</v>
      </c>
      <c r="J169" s="9"/>
      <c r="K169" s="9"/>
      <c r="L169" s="9"/>
      <c r="M169" s="12">
        <v>239023349.81</v>
      </c>
      <c r="N169" s="11">
        <v>3.5999999999999999E-3</v>
      </c>
      <c r="O169" s="12">
        <v>2507</v>
      </c>
      <c r="P169" s="11">
        <v>3.3E-3</v>
      </c>
      <c r="Q169" s="10">
        <v>46311</v>
      </c>
    </row>
    <row r="170" spans="1:17" ht="55.8" thickBot="1" x14ac:dyDescent="0.35">
      <c r="A170" s="5" t="s">
        <v>149</v>
      </c>
      <c r="B170" s="5" t="s">
        <v>225</v>
      </c>
      <c r="C170" s="5" t="s">
        <v>19</v>
      </c>
      <c r="D170" s="6">
        <v>45940</v>
      </c>
      <c r="E170" s="5" t="s">
        <v>60</v>
      </c>
      <c r="F170" s="5">
        <v>106.4452829</v>
      </c>
      <c r="G170" s="7">
        <v>5.4899999999999997E-2</v>
      </c>
      <c r="H170" s="7">
        <v>6.7999999999999996E-3</v>
      </c>
      <c r="I170" s="5"/>
      <c r="J170" s="5"/>
      <c r="K170" s="5"/>
      <c r="L170" s="5"/>
      <c r="M170" s="8">
        <v>53365018.25</v>
      </c>
      <c r="N170" s="7">
        <v>8.0000000000000004E-4</v>
      </c>
      <c r="O170" s="5">
        <v>58</v>
      </c>
      <c r="P170" s="7">
        <v>1E-4</v>
      </c>
      <c r="Q170" s="6">
        <v>46311</v>
      </c>
    </row>
    <row r="171" spans="1:17" ht="55.8" thickBot="1" x14ac:dyDescent="0.35">
      <c r="A171" s="9" t="s">
        <v>149</v>
      </c>
      <c r="B171" s="9" t="s">
        <v>226</v>
      </c>
      <c r="C171" s="9" t="s">
        <v>19</v>
      </c>
      <c r="D171" s="10">
        <v>45685</v>
      </c>
      <c r="E171" s="9" t="s">
        <v>60</v>
      </c>
      <c r="F171" s="9">
        <v>96.457775859999998</v>
      </c>
      <c r="G171" s="11">
        <v>0.1822</v>
      </c>
      <c r="H171" s="11">
        <v>-0.1845</v>
      </c>
      <c r="I171" s="9"/>
      <c r="J171" s="9"/>
      <c r="K171" s="9"/>
      <c r="L171" s="9"/>
      <c r="M171" s="12">
        <v>21369768.190000001</v>
      </c>
      <c r="N171" s="11">
        <v>2.9999999999999997E-4</v>
      </c>
      <c r="O171" s="9">
        <v>49</v>
      </c>
      <c r="P171" s="11">
        <v>1E-4</v>
      </c>
      <c r="Q171" s="10">
        <v>46311</v>
      </c>
    </row>
    <row r="172" spans="1:17" ht="55.8" thickBot="1" x14ac:dyDescent="0.35">
      <c r="A172" s="5" t="s">
        <v>149</v>
      </c>
      <c r="B172" s="5" t="s">
        <v>227</v>
      </c>
      <c r="C172" s="5" t="s">
        <v>19</v>
      </c>
      <c r="D172" s="6">
        <v>45776</v>
      </c>
      <c r="E172" s="5" t="s">
        <v>60</v>
      </c>
      <c r="F172" s="5">
        <v>90.435736370000001</v>
      </c>
      <c r="G172" s="7">
        <v>-0.14130000000000001</v>
      </c>
      <c r="H172" s="7">
        <v>5.2600000000000001E-2</v>
      </c>
      <c r="I172" s="5"/>
      <c r="J172" s="5"/>
      <c r="K172" s="5"/>
      <c r="L172" s="5"/>
      <c r="M172" s="8">
        <v>11599536.43</v>
      </c>
      <c r="N172" s="7">
        <v>2.0000000000000001E-4</v>
      </c>
      <c r="O172" s="5">
        <v>17</v>
      </c>
      <c r="P172" s="7">
        <v>0</v>
      </c>
      <c r="Q172" s="6">
        <v>46311</v>
      </c>
    </row>
    <row r="173" spans="1:17" ht="69.599999999999994" thickBot="1" x14ac:dyDescent="0.35">
      <c r="A173" s="9" t="s">
        <v>149</v>
      </c>
      <c r="B173" s="9" t="s">
        <v>228</v>
      </c>
      <c r="C173" s="9" t="s">
        <v>19</v>
      </c>
      <c r="D173" s="10">
        <v>46008</v>
      </c>
      <c r="E173" s="9" t="s">
        <v>60</v>
      </c>
      <c r="F173" s="9">
        <v>106.81102704</v>
      </c>
      <c r="G173" s="11">
        <v>5.9999999999999995E-4</v>
      </c>
      <c r="H173" s="11">
        <v>6.6600000000000006E-2</v>
      </c>
      <c r="I173" s="9"/>
      <c r="J173" s="9"/>
      <c r="K173" s="9"/>
      <c r="L173" s="9"/>
      <c r="M173" s="12">
        <v>17755689.350000001</v>
      </c>
      <c r="N173" s="11">
        <v>2.9999999999999997E-4</v>
      </c>
      <c r="O173" s="9">
        <v>27</v>
      </c>
      <c r="P173" s="11">
        <v>0</v>
      </c>
      <c r="Q173" s="10">
        <v>46311</v>
      </c>
    </row>
    <row r="174" spans="1:17" ht="55.8" thickBot="1" x14ac:dyDescent="0.35">
      <c r="A174" s="5" t="s">
        <v>149</v>
      </c>
      <c r="B174" s="5" t="s">
        <v>229</v>
      </c>
      <c r="C174" s="5" t="s">
        <v>19</v>
      </c>
      <c r="D174" s="6">
        <v>46094</v>
      </c>
      <c r="E174" s="5" t="s">
        <v>60</v>
      </c>
      <c r="F174" s="5">
        <v>108.8615356</v>
      </c>
      <c r="G174" s="7">
        <v>8.6900000000000005E-2</v>
      </c>
      <c r="H174" s="5"/>
      <c r="I174" s="5"/>
      <c r="J174" s="5"/>
      <c r="K174" s="5"/>
      <c r="L174" s="5"/>
      <c r="M174" s="8">
        <v>42469371.259999998</v>
      </c>
      <c r="N174" s="7">
        <v>5.9999999999999995E-4</v>
      </c>
      <c r="O174" s="5">
        <v>32</v>
      </c>
      <c r="P174" s="7">
        <v>0</v>
      </c>
      <c r="Q174" s="6">
        <v>46311</v>
      </c>
    </row>
    <row r="175" spans="1:17" ht="69.599999999999994" thickBot="1" x14ac:dyDescent="0.35">
      <c r="A175" s="9" t="s">
        <v>149</v>
      </c>
      <c r="B175" s="9" t="s">
        <v>230</v>
      </c>
      <c r="C175" s="9" t="s">
        <v>19</v>
      </c>
      <c r="D175" s="10">
        <v>46245</v>
      </c>
      <c r="E175" s="9" t="s">
        <v>60</v>
      </c>
      <c r="F175" s="9">
        <v>103.85808384000001</v>
      </c>
      <c r="G175" s="11">
        <v>3.7199999999999997E-2</v>
      </c>
      <c r="H175" s="9"/>
      <c r="I175" s="9"/>
      <c r="J175" s="9"/>
      <c r="K175" s="9"/>
      <c r="L175" s="9"/>
      <c r="M175" s="12">
        <v>37819340.299999997</v>
      </c>
      <c r="N175" s="11">
        <v>5.9999999999999995E-4</v>
      </c>
      <c r="O175" s="9">
        <v>57</v>
      </c>
      <c r="P175" s="11">
        <v>1E-4</v>
      </c>
      <c r="Q175" s="10">
        <v>46311</v>
      </c>
    </row>
    <row r="176" spans="1:17" ht="42" thickBot="1" x14ac:dyDescent="0.35">
      <c r="A176" s="5" t="s">
        <v>149</v>
      </c>
      <c r="B176" s="5" t="s">
        <v>421</v>
      </c>
      <c r="C176" s="5" t="s">
        <v>19</v>
      </c>
      <c r="D176" s="6">
        <v>46252</v>
      </c>
      <c r="E176" s="5" t="s">
        <v>60</v>
      </c>
      <c r="F176" s="5">
        <v>10.07888642</v>
      </c>
      <c r="G176" s="7">
        <v>6.6E-3</v>
      </c>
      <c r="H176" s="5"/>
      <c r="I176" s="5"/>
      <c r="J176" s="5"/>
      <c r="K176" s="5"/>
      <c r="L176" s="5"/>
      <c r="M176" s="8">
        <v>213550862.83000001</v>
      </c>
      <c r="N176" s="7">
        <v>3.3E-3</v>
      </c>
      <c r="O176" s="5">
        <v>275</v>
      </c>
      <c r="P176" s="7">
        <v>4.0000000000000002E-4</v>
      </c>
      <c r="Q176" s="6">
        <v>46311</v>
      </c>
    </row>
    <row r="177" spans="1:17" ht="42" thickBot="1" x14ac:dyDescent="0.35">
      <c r="A177" s="9" t="s">
        <v>149</v>
      </c>
      <c r="B177" s="9" t="s">
        <v>422</v>
      </c>
      <c r="C177" s="9" t="s">
        <v>19</v>
      </c>
      <c r="D177" s="10">
        <v>46310</v>
      </c>
      <c r="E177" s="9" t="s">
        <v>60</v>
      </c>
      <c r="F177" s="9">
        <v>10.008583249999999</v>
      </c>
      <c r="G177" s="11">
        <v>0</v>
      </c>
      <c r="H177" s="9"/>
      <c r="I177" s="9"/>
      <c r="J177" s="9"/>
      <c r="K177" s="9"/>
      <c r="L177" s="9"/>
      <c r="M177" s="12">
        <v>237358807.56</v>
      </c>
      <c r="N177" s="11">
        <v>3.5999999999999999E-3</v>
      </c>
      <c r="O177" s="9">
        <v>302</v>
      </c>
      <c r="P177" s="11">
        <v>4.0000000000000002E-4</v>
      </c>
      <c r="Q177" s="10">
        <v>46311</v>
      </c>
    </row>
    <row r="178" spans="1:17" ht="55.8" thickBot="1" x14ac:dyDescent="0.35">
      <c r="A178" s="5" t="s">
        <v>149</v>
      </c>
      <c r="B178" s="5" t="s">
        <v>231</v>
      </c>
      <c r="C178" s="5" t="s">
        <v>19</v>
      </c>
      <c r="D178" s="6">
        <v>46126</v>
      </c>
      <c r="E178" s="5" t="s">
        <v>60</v>
      </c>
      <c r="F178" s="5">
        <v>10.23869174</v>
      </c>
      <c r="G178" s="7">
        <v>-1</v>
      </c>
      <c r="H178" s="5"/>
      <c r="I178" s="5"/>
      <c r="J178" s="5"/>
      <c r="K178" s="5"/>
      <c r="L178" s="5"/>
      <c r="M178" s="8">
        <v>127767.02</v>
      </c>
      <c r="N178" s="7">
        <v>0</v>
      </c>
      <c r="O178" s="5">
        <v>1</v>
      </c>
      <c r="P178" s="7">
        <v>0</v>
      </c>
      <c r="Q178" s="6">
        <v>46310</v>
      </c>
    </row>
    <row r="179" spans="1:17" ht="55.8" thickBot="1" x14ac:dyDescent="0.35">
      <c r="A179" s="9" t="s">
        <v>149</v>
      </c>
      <c r="B179" s="9" t="s">
        <v>232</v>
      </c>
      <c r="C179" s="9" t="s">
        <v>19</v>
      </c>
      <c r="D179" s="10">
        <v>46191</v>
      </c>
      <c r="E179" s="9" t="s">
        <v>60</v>
      </c>
      <c r="F179" s="9">
        <v>10.16296887</v>
      </c>
      <c r="G179" s="11">
        <v>1.44E-2</v>
      </c>
      <c r="H179" s="9"/>
      <c r="I179" s="9"/>
      <c r="J179" s="9"/>
      <c r="K179" s="9"/>
      <c r="L179" s="9"/>
      <c r="M179" s="12">
        <v>257503133.49000001</v>
      </c>
      <c r="N179" s="11">
        <v>3.8999999999999998E-3</v>
      </c>
      <c r="O179" s="9">
        <v>352</v>
      </c>
      <c r="P179" s="11">
        <v>5.0000000000000001E-4</v>
      </c>
      <c r="Q179" s="10">
        <v>46311</v>
      </c>
    </row>
    <row r="180" spans="1:17" ht="55.8" thickBot="1" x14ac:dyDescent="0.35">
      <c r="A180" s="5" t="s">
        <v>149</v>
      </c>
      <c r="B180" s="5" t="s">
        <v>233</v>
      </c>
      <c r="C180" s="5" t="s">
        <v>19</v>
      </c>
      <c r="D180" s="6">
        <v>46192</v>
      </c>
      <c r="E180" s="5" t="s">
        <v>68</v>
      </c>
      <c r="F180" s="5">
        <v>10.23056755</v>
      </c>
      <c r="G180" s="7">
        <v>1.9900000000000001E-2</v>
      </c>
      <c r="H180" s="5"/>
      <c r="I180" s="5"/>
      <c r="J180" s="5"/>
      <c r="K180" s="5"/>
      <c r="L180" s="5"/>
      <c r="M180" s="8">
        <v>288609296.73000002</v>
      </c>
      <c r="N180" s="7">
        <v>4.4000000000000003E-3</v>
      </c>
      <c r="O180" s="5">
        <v>292</v>
      </c>
      <c r="P180" s="7">
        <v>4.0000000000000002E-4</v>
      </c>
      <c r="Q180" s="6">
        <v>46311</v>
      </c>
    </row>
    <row r="181" spans="1:17" ht="42" thickBot="1" x14ac:dyDescent="0.35">
      <c r="A181" s="9" t="s">
        <v>234</v>
      </c>
      <c r="B181" s="9" t="s">
        <v>235</v>
      </c>
      <c r="C181" s="9" t="s">
        <v>151</v>
      </c>
      <c r="D181" s="10">
        <v>44827</v>
      </c>
      <c r="E181" s="9" t="s">
        <v>60</v>
      </c>
      <c r="F181" s="9">
        <v>0</v>
      </c>
      <c r="G181" s="9"/>
      <c r="H181" s="9"/>
      <c r="I181" s="9"/>
      <c r="J181" s="9"/>
      <c r="K181" s="9"/>
      <c r="L181" s="9"/>
      <c r="M181" s="12">
        <v>22350038.98</v>
      </c>
      <c r="N181" s="11">
        <v>2.9999999999999997E-4</v>
      </c>
      <c r="O181" s="12">
        <v>1907</v>
      </c>
      <c r="P181" s="11">
        <v>2.5000000000000001E-3</v>
      </c>
      <c r="Q181" s="10">
        <v>46311</v>
      </c>
    </row>
    <row r="182" spans="1:17" ht="55.8" thickBot="1" x14ac:dyDescent="0.35">
      <c r="A182" s="5" t="s">
        <v>234</v>
      </c>
      <c r="B182" s="5" t="s">
        <v>236</v>
      </c>
      <c r="C182" s="5" t="s">
        <v>151</v>
      </c>
      <c r="D182" s="6">
        <v>44827</v>
      </c>
      <c r="E182" s="5" t="s">
        <v>60</v>
      </c>
      <c r="F182" s="5">
        <v>16.717409150000002</v>
      </c>
      <c r="G182" s="7">
        <v>7.4700000000000003E-2</v>
      </c>
      <c r="H182" s="7">
        <v>0.18729999999999999</v>
      </c>
      <c r="I182" s="7">
        <v>9.4799999999999995E-2</v>
      </c>
      <c r="J182" s="7">
        <v>0.13450000000000001</v>
      </c>
      <c r="K182" s="7">
        <v>4.8899999999999999E-2</v>
      </c>
      <c r="L182" s="5"/>
      <c r="M182" s="5"/>
      <c r="N182" s="5"/>
      <c r="O182" s="5">
        <v>15</v>
      </c>
      <c r="P182" s="7">
        <v>0</v>
      </c>
      <c r="Q182" s="6">
        <v>46311</v>
      </c>
    </row>
    <row r="183" spans="1:17" ht="55.8" thickBot="1" x14ac:dyDescent="0.35">
      <c r="A183" s="9" t="s">
        <v>234</v>
      </c>
      <c r="B183" s="9" t="s">
        <v>237</v>
      </c>
      <c r="C183" s="9" t="s">
        <v>151</v>
      </c>
      <c r="D183" s="10">
        <v>44827</v>
      </c>
      <c r="E183" s="9" t="s">
        <v>60</v>
      </c>
      <c r="F183" s="9">
        <v>16.569121169999999</v>
      </c>
      <c r="G183" s="11">
        <v>7.2599999999999998E-2</v>
      </c>
      <c r="H183" s="11">
        <v>0.18329999999999999</v>
      </c>
      <c r="I183" s="11">
        <v>9.2999999999999999E-2</v>
      </c>
      <c r="J183" s="11">
        <v>0.13250000000000001</v>
      </c>
      <c r="K183" s="11">
        <v>4.8399999999999999E-2</v>
      </c>
      <c r="L183" s="9"/>
      <c r="M183" s="9"/>
      <c r="N183" s="9"/>
      <c r="O183" s="12">
        <v>1895</v>
      </c>
      <c r="P183" s="11">
        <v>2.5000000000000001E-3</v>
      </c>
      <c r="Q183" s="10">
        <v>46311</v>
      </c>
    </row>
    <row r="184" spans="1:17" ht="55.8" thickBot="1" x14ac:dyDescent="0.35">
      <c r="A184" s="5" t="s">
        <v>234</v>
      </c>
      <c r="B184" s="5" t="s">
        <v>238</v>
      </c>
      <c r="C184" s="5" t="s">
        <v>151</v>
      </c>
      <c r="D184" s="6">
        <v>44827</v>
      </c>
      <c r="E184" s="5" t="s">
        <v>60</v>
      </c>
      <c r="F184" s="5">
        <v>13.323951750000001</v>
      </c>
      <c r="G184" s="5"/>
      <c r="H184" s="5"/>
      <c r="I184" s="7">
        <v>-1</v>
      </c>
      <c r="J184" s="7">
        <v>0.1368</v>
      </c>
      <c r="K184" s="7">
        <v>4.9399999999999999E-2</v>
      </c>
      <c r="L184" s="5"/>
      <c r="M184" s="5"/>
      <c r="N184" s="5"/>
      <c r="O184" s="5">
        <v>1</v>
      </c>
      <c r="P184" s="7">
        <v>0</v>
      </c>
      <c r="Q184" s="6">
        <v>45557</v>
      </c>
    </row>
    <row r="185" spans="1:17" ht="28.2" thickBot="1" x14ac:dyDescent="0.35">
      <c r="A185" s="9" t="s">
        <v>234</v>
      </c>
      <c r="B185" s="9" t="s">
        <v>239</v>
      </c>
      <c r="C185" s="9" t="s">
        <v>151</v>
      </c>
      <c r="D185" s="10">
        <v>44784</v>
      </c>
      <c r="E185" s="9" t="s">
        <v>60</v>
      </c>
      <c r="F185" s="9">
        <v>0</v>
      </c>
      <c r="G185" s="9"/>
      <c r="H185" s="11">
        <v>-1</v>
      </c>
      <c r="I185" s="11">
        <v>5.1400000000000001E-2</v>
      </c>
      <c r="J185" s="11">
        <v>4.5900000000000003E-2</v>
      </c>
      <c r="K185" s="11">
        <v>9.1999999999999998E-3</v>
      </c>
      <c r="L185" s="9"/>
      <c r="M185" s="12">
        <v>36665361.899999999</v>
      </c>
      <c r="N185" s="11">
        <v>5.9999999999999995E-4</v>
      </c>
      <c r="O185" s="12">
        <v>1255</v>
      </c>
      <c r="P185" s="11">
        <v>1.6999999999999999E-3</v>
      </c>
      <c r="Q185" s="10">
        <v>46311</v>
      </c>
    </row>
    <row r="186" spans="1:17" ht="42" thickBot="1" x14ac:dyDescent="0.35">
      <c r="A186" s="5" t="s">
        <v>234</v>
      </c>
      <c r="B186" s="5" t="s">
        <v>240</v>
      </c>
      <c r="C186" s="5" t="s">
        <v>151</v>
      </c>
      <c r="D186" s="6">
        <v>44784</v>
      </c>
      <c r="E186" s="5" t="s">
        <v>60</v>
      </c>
      <c r="F186" s="5">
        <v>10.6447866</v>
      </c>
      <c r="G186" s="7">
        <v>2.4E-2</v>
      </c>
      <c r="H186" s="5"/>
      <c r="I186" s="5"/>
      <c r="J186" s="5"/>
      <c r="K186" s="5"/>
      <c r="L186" s="5"/>
      <c r="M186" s="5"/>
      <c r="N186" s="5"/>
      <c r="O186" s="5">
        <v>890</v>
      </c>
      <c r="P186" s="7">
        <v>1.1999999999999999E-3</v>
      </c>
      <c r="Q186" s="6">
        <v>46311</v>
      </c>
    </row>
    <row r="187" spans="1:17" ht="42" thickBot="1" x14ac:dyDescent="0.35">
      <c r="A187" s="9" t="s">
        <v>234</v>
      </c>
      <c r="B187" s="9" t="s">
        <v>241</v>
      </c>
      <c r="C187" s="9" t="s">
        <v>151</v>
      </c>
      <c r="D187" s="10">
        <v>44784</v>
      </c>
      <c r="E187" s="9" t="s">
        <v>60</v>
      </c>
      <c r="F187" s="9">
        <v>11.992861420000001</v>
      </c>
      <c r="G187" s="11">
        <v>2.5999999999999999E-2</v>
      </c>
      <c r="H187" s="9"/>
      <c r="I187" s="9"/>
      <c r="J187" s="9"/>
      <c r="K187" s="9"/>
      <c r="L187" s="9"/>
      <c r="M187" s="9"/>
      <c r="N187" s="9"/>
      <c r="O187" s="9">
        <v>370</v>
      </c>
      <c r="P187" s="11">
        <v>5.0000000000000001E-4</v>
      </c>
      <c r="Q187" s="10">
        <v>46311</v>
      </c>
    </row>
    <row r="188" spans="1:17" ht="42" thickBot="1" x14ac:dyDescent="0.35">
      <c r="A188" s="5" t="s">
        <v>234</v>
      </c>
      <c r="B188" s="5" t="s">
        <v>242</v>
      </c>
      <c r="C188" s="5" t="s">
        <v>151</v>
      </c>
      <c r="D188" s="6">
        <v>45580</v>
      </c>
      <c r="E188" s="5" t="s">
        <v>60</v>
      </c>
      <c r="F188" s="5">
        <v>0</v>
      </c>
      <c r="G188" s="5"/>
      <c r="H188" s="5"/>
      <c r="I188" s="5"/>
      <c r="J188" s="5"/>
      <c r="K188" s="5"/>
      <c r="L188" s="5"/>
      <c r="M188" s="8">
        <v>11360968.4</v>
      </c>
      <c r="N188" s="7">
        <v>2.0000000000000001E-4</v>
      </c>
      <c r="O188" s="8">
        <v>2155</v>
      </c>
      <c r="P188" s="7">
        <v>2.8E-3</v>
      </c>
      <c r="Q188" s="6">
        <v>46311</v>
      </c>
    </row>
    <row r="189" spans="1:17" ht="55.8" thickBot="1" x14ac:dyDescent="0.35">
      <c r="A189" s="9" t="s">
        <v>234</v>
      </c>
      <c r="B189" s="9" t="s">
        <v>243</v>
      </c>
      <c r="C189" s="9" t="s">
        <v>151</v>
      </c>
      <c r="D189" s="10">
        <v>45580</v>
      </c>
      <c r="E189" s="9" t="s">
        <v>60</v>
      </c>
      <c r="F189" s="9">
        <v>12.941315510000001</v>
      </c>
      <c r="G189" s="11">
        <v>0.10879999999999999</v>
      </c>
      <c r="H189" s="11">
        <v>0.14860000000000001</v>
      </c>
      <c r="I189" s="11">
        <v>1.2200000000000001E-2</v>
      </c>
      <c r="J189" s="9"/>
      <c r="K189" s="9"/>
      <c r="L189" s="9"/>
      <c r="M189" s="9"/>
      <c r="N189" s="9"/>
      <c r="O189" s="9">
        <v>9</v>
      </c>
      <c r="P189" s="11">
        <v>0</v>
      </c>
      <c r="Q189" s="10">
        <v>46311</v>
      </c>
    </row>
    <row r="190" spans="1:17" ht="55.8" thickBot="1" x14ac:dyDescent="0.35">
      <c r="A190" s="5" t="s">
        <v>234</v>
      </c>
      <c r="B190" s="5" t="s">
        <v>244</v>
      </c>
      <c r="C190" s="5" t="s">
        <v>151</v>
      </c>
      <c r="D190" s="6">
        <v>45580</v>
      </c>
      <c r="E190" s="5" t="s">
        <v>60</v>
      </c>
      <c r="F190" s="5">
        <v>12.7865231</v>
      </c>
      <c r="G190" s="7">
        <v>0.1036</v>
      </c>
      <c r="H190" s="7">
        <v>0.14199999999999999</v>
      </c>
      <c r="I190" s="7">
        <v>1.09E-2</v>
      </c>
      <c r="J190" s="5"/>
      <c r="K190" s="5"/>
      <c r="L190" s="5"/>
      <c r="M190" s="5"/>
      <c r="N190" s="5"/>
      <c r="O190" s="8">
        <v>2149</v>
      </c>
      <c r="P190" s="7">
        <v>2.8E-3</v>
      </c>
      <c r="Q190" s="6">
        <v>46311</v>
      </c>
    </row>
    <row r="191" spans="1:17" ht="69.599999999999994" thickBot="1" x14ac:dyDescent="0.35">
      <c r="A191" s="9" t="s">
        <v>234</v>
      </c>
      <c r="B191" s="9" t="s">
        <v>245</v>
      </c>
      <c r="C191" s="9" t="s">
        <v>18</v>
      </c>
      <c r="D191" s="10">
        <v>43347</v>
      </c>
      <c r="E191" s="9" t="s">
        <v>60</v>
      </c>
      <c r="F191" s="9">
        <v>123.939515</v>
      </c>
      <c r="G191" s="11">
        <v>-2.4299999999999999E-2</v>
      </c>
      <c r="H191" s="11">
        <v>9.11E-2</v>
      </c>
      <c r="I191" s="11">
        <v>3.0599999999999999E-2</v>
      </c>
      <c r="J191" s="11">
        <v>5.9499999999999997E-2</v>
      </c>
      <c r="K191" s="11">
        <v>-0.1081</v>
      </c>
      <c r="L191" s="11">
        <v>-2.18E-2</v>
      </c>
      <c r="M191" s="12">
        <v>218165754.72999999</v>
      </c>
      <c r="N191" s="11">
        <v>3.3E-3</v>
      </c>
      <c r="O191" s="12">
        <v>1246</v>
      </c>
      <c r="P191" s="11">
        <v>1.6000000000000001E-3</v>
      </c>
      <c r="Q191" s="10">
        <v>46311</v>
      </c>
    </row>
    <row r="192" spans="1:17" ht="55.8" thickBot="1" x14ac:dyDescent="0.35">
      <c r="A192" s="5" t="s">
        <v>234</v>
      </c>
      <c r="B192" s="5" t="s">
        <v>246</v>
      </c>
      <c r="C192" s="5" t="s">
        <v>18</v>
      </c>
      <c r="D192" s="6">
        <v>42408</v>
      </c>
      <c r="E192" s="5" t="s">
        <v>60</v>
      </c>
      <c r="F192" s="5">
        <v>128.94604200000001</v>
      </c>
      <c r="G192" s="7">
        <v>-8.0000000000000004E-4</v>
      </c>
      <c r="H192" s="7">
        <v>7.5800000000000006E-2</v>
      </c>
      <c r="I192" s="7">
        <v>4.0099999999999997E-2</v>
      </c>
      <c r="J192" s="7">
        <v>5.79E-2</v>
      </c>
      <c r="K192" s="7">
        <v>-0.13880000000000001</v>
      </c>
      <c r="L192" s="7">
        <v>2.7000000000000001E-3</v>
      </c>
      <c r="M192" s="8">
        <v>42816191.229999997</v>
      </c>
      <c r="N192" s="7">
        <v>6.9999999999999999E-4</v>
      </c>
      <c r="O192" s="5">
        <v>617</v>
      </c>
      <c r="P192" s="7">
        <v>8.0000000000000004E-4</v>
      </c>
      <c r="Q192" s="6">
        <v>46311</v>
      </c>
    </row>
    <row r="193" spans="1:17" ht="55.8" thickBot="1" x14ac:dyDescent="0.35">
      <c r="A193" s="9" t="s">
        <v>234</v>
      </c>
      <c r="B193" s="9" t="s">
        <v>247</v>
      </c>
      <c r="C193" s="9" t="s">
        <v>18</v>
      </c>
      <c r="D193" s="10">
        <v>42410</v>
      </c>
      <c r="E193" s="9" t="s">
        <v>60</v>
      </c>
      <c r="F193" s="9">
        <v>188.761707</v>
      </c>
      <c r="G193" s="11">
        <v>5.16E-2</v>
      </c>
      <c r="H193" s="11">
        <v>0.13950000000000001</v>
      </c>
      <c r="I193" s="11">
        <v>9.1200000000000003E-2</v>
      </c>
      <c r="J193" s="11">
        <v>0.11749999999999999</v>
      </c>
      <c r="K193" s="11">
        <v>-0.1779</v>
      </c>
      <c r="L193" s="11">
        <v>8.2400000000000001E-2</v>
      </c>
      <c r="M193" s="12">
        <v>35659567.880000003</v>
      </c>
      <c r="N193" s="11">
        <v>5.0000000000000001E-4</v>
      </c>
      <c r="O193" s="12">
        <v>1269</v>
      </c>
      <c r="P193" s="11">
        <v>1.6999999999999999E-3</v>
      </c>
      <c r="Q193" s="10">
        <v>46311</v>
      </c>
    </row>
    <row r="194" spans="1:17" ht="69.599999999999994" thickBot="1" x14ac:dyDescent="0.35">
      <c r="A194" s="5" t="s">
        <v>234</v>
      </c>
      <c r="B194" s="5" t="s">
        <v>248</v>
      </c>
      <c r="C194" s="5" t="s">
        <v>18</v>
      </c>
      <c r="D194" s="6">
        <v>41358</v>
      </c>
      <c r="E194" s="5" t="s">
        <v>60</v>
      </c>
      <c r="F194" s="5">
        <v>120.843165</v>
      </c>
      <c r="G194" s="7">
        <v>-1.09E-2</v>
      </c>
      <c r="H194" s="7">
        <v>7.1300000000000002E-2</v>
      </c>
      <c r="I194" s="7">
        <v>3.3700000000000001E-2</v>
      </c>
      <c r="J194" s="7">
        <v>5.5500000000000001E-2</v>
      </c>
      <c r="K194" s="7">
        <v>-0.1555</v>
      </c>
      <c r="L194" s="7">
        <v>-1.17E-2</v>
      </c>
      <c r="M194" s="8">
        <v>27333004.739999998</v>
      </c>
      <c r="N194" s="7">
        <v>4.0000000000000002E-4</v>
      </c>
      <c r="O194" s="8">
        <v>1284</v>
      </c>
      <c r="P194" s="7">
        <v>1.6999999999999999E-3</v>
      </c>
      <c r="Q194" s="6">
        <v>46311</v>
      </c>
    </row>
    <row r="195" spans="1:17" ht="69.599999999999994" thickBot="1" x14ac:dyDescent="0.35">
      <c r="A195" s="9" t="s">
        <v>234</v>
      </c>
      <c r="B195" s="9" t="s">
        <v>249</v>
      </c>
      <c r="C195" s="9" t="s">
        <v>18</v>
      </c>
      <c r="D195" s="10">
        <v>39615</v>
      </c>
      <c r="E195" s="9" t="s">
        <v>68</v>
      </c>
      <c r="F195" s="9">
        <v>119.73079472000001</v>
      </c>
      <c r="G195" s="11">
        <v>5.1799999999999999E-2</v>
      </c>
      <c r="H195" s="11">
        <v>-2.3999999999999998E-3</v>
      </c>
      <c r="I195" s="11">
        <v>8.8300000000000003E-2</v>
      </c>
      <c r="J195" s="11">
        <v>6.6199999999999995E-2</v>
      </c>
      <c r="K195" s="11">
        <v>-0.20269999999999999</v>
      </c>
      <c r="L195" s="11">
        <v>-5.7299999999999997E-2</v>
      </c>
      <c r="M195" s="12">
        <v>7801834.9400000004</v>
      </c>
      <c r="N195" s="11">
        <v>1E-4</v>
      </c>
      <c r="O195" s="12">
        <v>1049</v>
      </c>
      <c r="P195" s="11">
        <v>1.4E-3</v>
      </c>
      <c r="Q195" s="10">
        <v>46311</v>
      </c>
    </row>
    <row r="196" spans="1:17" ht="69.599999999999994" thickBot="1" x14ac:dyDescent="0.35">
      <c r="A196" s="5" t="s">
        <v>234</v>
      </c>
      <c r="B196" s="5" t="s">
        <v>250</v>
      </c>
      <c r="C196" s="5" t="s">
        <v>18</v>
      </c>
      <c r="D196" s="6">
        <v>41135</v>
      </c>
      <c r="E196" s="5" t="s">
        <v>60</v>
      </c>
      <c r="F196" s="5">
        <v>81.641959999999997</v>
      </c>
      <c r="G196" s="7">
        <v>0.24560000000000001</v>
      </c>
      <c r="H196" s="7">
        <v>0.42830000000000001</v>
      </c>
      <c r="I196" s="7">
        <v>-0.27389999999999998</v>
      </c>
      <c r="J196" s="7">
        <v>0.26690000000000003</v>
      </c>
      <c r="K196" s="7">
        <v>-1.8700000000000001E-2</v>
      </c>
      <c r="L196" s="7">
        <v>-8.8200000000000001E-2</v>
      </c>
      <c r="M196" s="8">
        <v>57272129.850000001</v>
      </c>
      <c r="N196" s="7">
        <v>8.9999999999999998E-4</v>
      </c>
      <c r="O196" s="8">
        <v>1856</v>
      </c>
      <c r="P196" s="7">
        <v>2.5000000000000001E-3</v>
      </c>
      <c r="Q196" s="6">
        <v>46311</v>
      </c>
    </row>
    <row r="197" spans="1:17" ht="69.599999999999994" thickBot="1" x14ac:dyDescent="0.35">
      <c r="A197" s="9" t="s">
        <v>234</v>
      </c>
      <c r="B197" s="9" t="s">
        <v>251</v>
      </c>
      <c r="C197" s="9" t="s">
        <v>18</v>
      </c>
      <c r="D197" s="10">
        <v>42891</v>
      </c>
      <c r="E197" s="9" t="s">
        <v>60</v>
      </c>
      <c r="F197" s="9">
        <v>187.04347799999999</v>
      </c>
      <c r="G197" s="11">
        <v>0.1565</v>
      </c>
      <c r="H197" s="11">
        <v>0.29380000000000001</v>
      </c>
      <c r="I197" s="11">
        <v>7.9899999999999999E-2</v>
      </c>
      <c r="J197" s="11">
        <v>3.8999999999999998E-3</v>
      </c>
      <c r="K197" s="11">
        <v>-0.18410000000000001</v>
      </c>
      <c r="L197" s="11">
        <v>-4.3700000000000003E-2</v>
      </c>
      <c r="M197" s="12">
        <v>72114946.840000004</v>
      </c>
      <c r="N197" s="11">
        <v>1.1000000000000001E-3</v>
      </c>
      <c r="O197" s="12">
        <v>1744</v>
      </c>
      <c r="P197" s="11">
        <v>2.3E-3</v>
      </c>
      <c r="Q197" s="10">
        <v>46311</v>
      </c>
    </row>
    <row r="198" spans="1:17" ht="69.599999999999994" thickBot="1" x14ac:dyDescent="0.35">
      <c r="A198" s="5" t="s">
        <v>234</v>
      </c>
      <c r="B198" s="5" t="s">
        <v>252</v>
      </c>
      <c r="C198" s="5" t="s">
        <v>18</v>
      </c>
      <c r="D198" s="6">
        <v>42881</v>
      </c>
      <c r="E198" s="5" t="s">
        <v>60</v>
      </c>
      <c r="F198" s="5">
        <v>270.33175999999997</v>
      </c>
      <c r="G198" s="7">
        <v>7.5800000000000006E-2</v>
      </c>
      <c r="H198" s="7">
        <v>4.8899999999999999E-2</v>
      </c>
      <c r="I198" s="7">
        <v>0.17960000000000001</v>
      </c>
      <c r="J198" s="7">
        <v>0.34410000000000002</v>
      </c>
      <c r="K198" s="7">
        <v>-0.30159999999999998</v>
      </c>
      <c r="L198" s="7">
        <v>0.18729999999999999</v>
      </c>
      <c r="M198" s="8">
        <v>167627752.75999999</v>
      </c>
      <c r="N198" s="7">
        <v>2.5999999999999999E-3</v>
      </c>
      <c r="O198" s="8">
        <v>2372</v>
      </c>
      <c r="P198" s="7">
        <v>3.0999999999999999E-3</v>
      </c>
      <c r="Q198" s="6">
        <v>46311</v>
      </c>
    </row>
    <row r="199" spans="1:17" ht="69.599999999999994" thickBot="1" x14ac:dyDescent="0.35">
      <c r="A199" s="9" t="s">
        <v>234</v>
      </c>
      <c r="B199" s="9" t="s">
        <v>253</v>
      </c>
      <c r="C199" s="9" t="s">
        <v>18</v>
      </c>
      <c r="D199" s="10">
        <v>42881</v>
      </c>
      <c r="E199" s="9" t="s">
        <v>60</v>
      </c>
      <c r="F199" s="9">
        <v>196.067083</v>
      </c>
      <c r="G199" s="11">
        <v>4.9200000000000001E-2</v>
      </c>
      <c r="H199" s="11">
        <v>0.155</v>
      </c>
      <c r="I199" s="11">
        <v>1.3100000000000001E-2</v>
      </c>
      <c r="J199" s="11">
        <v>0.21460000000000001</v>
      </c>
      <c r="K199" s="11">
        <v>-0.26550000000000001</v>
      </c>
      <c r="L199" s="11">
        <v>0.29020000000000001</v>
      </c>
      <c r="M199" s="12">
        <v>72194655.689999998</v>
      </c>
      <c r="N199" s="11">
        <v>1.1000000000000001E-3</v>
      </c>
      <c r="O199" s="9">
        <v>927</v>
      </c>
      <c r="P199" s="11">
        <v>1.1999999999999999E-3</v>
      </c>
      <c r="Q199" s="10">
        <v>46311</v>
      </c>
    </row>
    <row r="200" spans="1:17" ht="69.599999999999994" thickBot="1" x14ac:dyDescent="0.35">
      <c r="A200" s="5" t="s">
        <v>234</v>
      </c>
      <c r="B200" s="5" t="s">
        <v>254</v>
      </c>
      <c r="C200" s="5" t="s">
        <v>18</v>
      </c>
      <c r="D200" s="6">
        <v>43257</v>
      </c>
      <c r="E200" s="5" t="s">
        <v>60</v>
      </c>
      <c r="F200" s="5">
        <v>128.10715300000001</v>
      </c>
      <c r="G200" s="7">
        <v>-1.4800000000000001E-2</v>
      </c>
      <c r="H200" s="7">
        <v>6.8199999999999997E-2</v>
      </c>
      <c r="I200" s="7">
        <v>7.2300000000000003E-2</v>
      </c>
      <c r="J200" s="7">
        <v>7.0900000000000005E-2</v>
      </c>
      <c r="K200" s="7">
        <v>-0.1028</v>
      </c>
      <c r="L200" s="7">
        <v>1.2699999999999999E-2</v>
      </c>
      <c r="M200" s="8">
        <v>207212438.44999999</v>
      </c>
      <c r="N200" s="7">
        <v>3.2000000000000002E-3</v>
      </c>
      <c r="O200" s="8">
        <v>1078</v>
      </c>
      <c r="P200" s="7">
        <v>1.4E-3</v>
      </c>
      <c r="Q200" s="6">
        <v>46311</v>
      </c>
    </row>
    <row r="201" spans="1:17" ht="69.599999999999994" thickBot="1" x14ac:dyDescent="0.35">
      <c r="A201" s="9" t="s">
        <v>234</v>
      </c>
      <c r="B201" s="9" t="s">
        <v>255</v>
      </c>
      <c r="C201" s="9" t="s">
        <v>18</v>
      </c>
      <c r="D201" s="10">
        <v>35150</v>
      </c>
      <c r="E201" s="9" t="s">
        <v>60</v>
      </c>
      <c r="F201" s="9">
        <v>0</v>
      </c>
      <c r="G201" s="11">
        <v>-1</v>
      </c>
      <c r="H201" s="11">
        <v>5.3699999999999998E-2</v>
      </c>
      <c r="I201" s="11">
        <v>5.67E-2</v>
      </c>
      <c r="J201" s="11">
        <v>6.0299999999999999E-2</v>
      </c>
      <c r="K201" s="11">
        <v>-3.5999999999999997E-2</v>
      </c>
      <c r="L201" s="11">
        <v>-6.3E-3</v>
      </c>
      <c r="M201" s="12">
        <v>802007061.05999994</v>
      </c>
      <c r="N201" s="11">
        <v>1.2200000000000001E-2</v>
      </c>
      <c r="O201" s="12">
        <v>6474</v>
      </c>
      <c r="P201" s="11">
        <v>8.6E-3</v>
      </c>
      <c r="Q201" s="10">
        <v>46311</v>
      </c>
    </row>
    <row r="202" spans="1:17" ht="83.4" thickBot="1" x14ac:dyDescent="0.35">
      <c r="A202" s="5" t="s">
        <v>234</v>
      </c>
      <c r="B202" s="5" t="s">
        <v>256</v>
      </c>
      <c r="C202" s="5" t="s">
        <v>18</v>
      </c>
      <c r="D202" s="6">
        <v>35150</v>
      </c>
      <c r="E202" s="5" t="s">
        <v>60</v>
      </c>
      <c r="F202" s="5">
        <v>284.74209200000001</v>
      </c>
      <c r="G202" s="5"/>
      <c r="H202" s="5"/>
      <c r="I202" s="5"/>
      <c r="J202" s="5"/>
      <c r="K202" s="5"/>
      <c r="L202" s="5"/>
      <c r="M202" s="5"/>
      <c r="N202" s="5"/>
      <c r="O202" s="8">
        <v>6372</v>
      </c>
      <c r="P202" s="7">
        <v>8.3999999999999995E-3</v>
      </c>
      <c r="Q202" s="6">
        <v>46311</v>
      </c>
    </row>
    <row r="203" spans="1:17" ht="83.4" thickBot="1" x14ac:dyDescent="0.35">
      <c r="A203" s="9" t="s">
        <v>234</v>
      </c>
      <c r="B203" s="9" t="s">
        <v>257</v>
      </c>
      <c r="C203" s="9" t="s">
        <v>18</v>
      </c>
      <c r="D203" s="10">
        <v>35150</v>
      </c>
      <c r="E203" s="9" t="s">
        <v>60</v>
      </c>
      <c r="F203" s="9">
        <v>284.74209200000001</v>
      </c>
      <c r="G203" s="9"/>
      <c r="H203" s="9"/>
      <c r="I203" s="9"/>
      <c r="J203" s="9"/>
      <c r="K203" s="9"/>
      <c r="L203" s="9"/>
      <c r="M203" s="9"/>
      <c r="N203" s="9"/>
      <c r="O203" s="9">
        <v>102</v>
      </c>
      <c r="P203" s="11">
        <v>1E-4</v>
      </c>
      <c r="Q203" s="10">
        <v>46311</v>
      </c>
    </row>
    <row r="204" spans="1:17" ht="69.599999999999994" thickBot="1" x14ac:dyDescent="0.35">
      <c r="A204" s="5" t="s">
        <v>234</v>
      </c>
      <c r="B204" s="5" t="s">
        <v>258</v>
      </c>
      <c r="C204" s="5" t="s">
        <v>18</v>
      </c>
      <c r="D204" s="6">
        <v>42796</v>
      </c>
      <c r="E204" s="5" t="s">
        <v>60</v>
      </c>
      <c r="F204" s="5">
        <v>133.85818499999999</v>
      </c>
      <c r="G204" s="7">
        <v>6.7999999999999996E-3</v>
      </c>
      <c r="H204" s="7">
        <v>3.1399999999999997E-2</v>
      </c>
      <c r="I204" s="7">
        <v>6.1600000000000002E-2</v>
      </c>
      <c r="J204" s="7">
        <v>0.10290000000000001</v>
      </c>
      <c r="K204" s="7">
        <v>-3.8199999999999998E-2</v>
      </c>
      <c r="L204" s="7">
        <v>6.1600000000000002E-2</v>
      </c>
      <c r="M204" s="8">
        <v>43741645.789999999</v>
      </c>
      <c r="N204" s="7">
        <v>6.9999999999999999E-4</v>
      </c>
      <c r="O204" s="5">
        <v>548</v>
      </c>
      <c r="P204" s="7">
        <v>6.9999999999999999E-4</v>
      </c>
      <c r="Q204" s="6">
        <v>46311</v>
      </c>
    </row>
    <row r="205" spans="1:17" ht="69.599999999999994" thickBot="1" x14ac:dyDescent="0.35">
      <c r="A205" s="9" t="s">
        <v>234</v>
      </c>
      <c r="B205" s="9" t="s">
        <v>259</v>
      </c>
      <c r="C205" s="9" t="s">
        <v>18</v>
      </c>
      <c r="D205" s="10">
        <v>42796</v>
      </c>
      <c r="E205" s="9" t="s">
        <v>60</v>
      </c>
      <c r="F205" s="9">
        <v>134.46274299999999</v>
      </c>
      <c r="G205" s="11">
        <v>-1.1299999999999999E-2</v>
      </c>
      <c r="H205" s="11">
        <v>5.0200000000000002E-2</v>
      </c>
      <c r="I205" s="11">
        <v>5.96E-2</v>
      </c>
      <c r="J205" s="11">
        <v>0.10059999999999999</v>
      </c>
      <c r="K205" s="11">
        <v>-8.6199999999999999E-2</v>
      </c>
      <c r="L205" s="11">
        <v>2.2700000000000001E-2</v>
      </c>
      <c r="M205" s="12">
        <v>215848948.49000001</v>
      </c>
      <c r="N205" s="11">
        <v>3.3E-3</v>
      </c>
      <c r="O205" s="12">
        <v>1047</v>
      </c>
      <c r="P205" s="11">
        <v>1.4E-3</v>
      </c>
      <c r="Q205" s="10">
        <v>46311</v>
      </c>
    </row>
    <row r="206" spans="1:17" ht="55.8" thickBot="1" x14ac:dyDescent="0.35">
      <c r="A206" s="5" t="s">
        <v>234</v>
      </c>
      <c r="B206" s="5" t="s">
        <v>260</v>
      </c>
      <c r="C206" s="5" t="s">
        <v>17</v>
      </c>
      <c r="D206" s="6">
        <v>40238</v>
      </c>
      <c r="E206" s="5" t="s">
        <v>60</v>
      </c>
      <c r="F206" s="5">
        <v>104.76792347999999</v>
      </c>
      <c r="G206" s="7">
        <v>6.3E-3</v>
      </c>
      <c r="H206" s="7">
        <v>5.96E-2</v>
      </c>
      <c r="I206" s="7">
        <v>1.6799999999999999E-2</v>
      </c>
      <c r="J206" s="7">
        <v>5.6300000000000003E-2</v>
      </c>
      <c r="K206" s="7">
        <v>-0.14299999999999999</v>
      </c>
      <c r="L206" s="7">
        <v>2.3699999999999999E-2</v>
      </c>
      <c r="M206" s="8">
        <v>42241967.969999999</v>
      </c>
      <c r="N206" s="7">
        <v>5.9999999999999995E-4</v>
      </c>
      <c r="O206" s="5">
        <v>223</v>
      </c>
      <c r="P206" s="7">
        <v>2.9999999999999997E-4</v>
      </c>
      <c r="Q206" s="6">
        <v>46311</v>
      </c>
    </row>
    <row r="207" spans="1:17" ht="69.599999999999994" thickBot="1" x14ac:dyDescent="0.35">
      <c r="A207" s="9" t="s">
        <v>234</v>
      </c>
      <c r="B207" s="9" t="s">
        <v>261</v>
      </c>
      <c r="C207" s="9" t="s">
        <v>18</v>
      </c>
      <c r="D207" s="10">
        <v>44312</v>
      </c>
      <c r="E207" s="9" t="s">
        <v>60</v>
      </c>
      <c r="F207" s="9">
        <v>142.79968400000001</v>
      </c>
      <c r="G207" s="11">
        <v>5.6300000000000003E-2</v>
      </c>
      <c r="H207" s="11">
        <v>0.16059999999999999</v>
      </c>
      <c r="I207" s="11">
        <v>0.28670000000000001</v>
      </c>
      <c r="J207" s="11">
        <v>0.39329999999999998</v>
      </c>
      <c r="K207" s="11">
        <v>-0.3891</v>
      </c>
      <c r="L207" s="11">
        <v>5.91E-2</v>
      </c>
      <c r="M207" s="12">
        <v>124649095.84</v>
      </c>
      <c r="N207" s="11">
        <v>1.9E-3</v>
      </c>
      <c r="O207" s="12">
        <v>1879</v>
      </c>
      <c r="P207" s="11">
        <v>2.5000000000000001E-3</v>
      </c>
      <c r="Q207" s="10">
        <v>46311</v>
      </c>
    </row>
    <row r="208" spans="1:17" ht="69.599999999999994" thickBot="1" x14ac:dyDescent="0.35">
      <c r="A208" s="5" t="s">
        <v>234</v>
      </c>
      <c r="B208" s="5" t="s">
        <v>262</v>
      </c>
      <c r="C208" s="5" t="s">
        <v>18</v>
      </c>
      <c r="D208" s="6">
        <v>43375</v>
      </c>
      <c r="E208" s="5" t="s">
        <v>60</v>
      </c>
      <c r="F208" s="5">
        <v>197.90603100000001</v>
      </c>
      <c r="G208" s="7">
        <v>0.25769999999999998</v>
      </c>
      <c r="H208" s="7">
        <v>3.8899999999999997E-2</v>
      </c>
      <c r="I208" s="7">
        <v>0.11799999999999999</v>
      </c>
      <c r="J208" s="7">
        <v>0.1938</v>
      </c>
      <c r="K208" s="7">
        <v>-0.31869999999999998</v>
      </c>
      <c r="L208" s="7">
        <v>0.18940000000000001</v>
      </c>
      <c r="M208" s="8">
        <v>30783757.940000001</v>
      </c>
      <c r="N208" s="7">
        <v>5.0000000000000001E-4</v>
      </c>
      <c r="O208" s="5">
        <v>525</v>
      </c>
      <c r="P208" s="7">
        <v>6.9999999999999999E-4</v>
      </c>
      <c r="Q208" s="6">
        <v>46311</v>
      </c>
    </row>
    <row r="209" spans="1:17" ht="69.599999999999994" thickBot="1" x14ac:dyDescent="0.35">
      <c r="A209" s="9" t="s">
        <v>234</v>
      </c>
      <c r="B209" s="9" t="s">
        <v>263</v>
      </c>
      <c r="C209" s="9" t="s">
        <v>18</v>
      </c>
      <c r="D209" s="10">
        <v>43509</v>
      </c>
      <c r="E209" s="9" t="s">
        <v>60</v>
      </c>
      <c r="F209" s="9">
        <v>125.363477</v>
      </c>
      <c r="G209" s="11">
        <v>-1.95E-2</v>
      </c>
      <c r="H209" s="11">
        <v>9.2200000000000004E-2</v>
      </c>
      <c r="I209" s="11">
        <v>4.53E-2</v>
      </c>
      <c r="J209" s="11">
        <v>7.17E-2</v>
      </c>
      <c r="K209" s="11">
        <v>-7.51E-2</v>
      </c>
      <c r="L209" s="11">
        <v>1.5800000000000002E-2</v>
      </c>
      <c r="M209" s="12">
        <v>704394524.85000002</v>
      </c>
      <c r="N209" s="11">
        <v>1.0699999999999999E-2</v>
      </c>
      <c r="O209" s="12">
        <v>1208</v>
      </c>
      <c r="P209" s="11">
        <v>1.6000000000000001E-3</v>
      </c>
      <c r="Q209" s="10">
        <v>46311</v>
      </c>
    </row>
    <row r="210" spans="1:17" ht="55.8" thickBot="1" x14ac:dyDescent="0.35">
      <c r="A210" s="5" t="s">
        <v>234</v>
      </c>
      <c r="B210" s="5" t="s">
        <v>264</v>
      </c>
      <c r="C210" s="5" t="s">
        <v>31</v>
      </c>
      <c r="D210" s="6">
        <v>44281</v>
      </c>
      <c r="E210" s="5" t="s">
        <v>60</v>
      </c>
      <c r="F210" s="5">
        <v>72.486999999999995</v>
      </c>
      <c r="G210" s="7">
        <v>7.5200000000000003E-2</v>
      </c>
      <c r="H210" s="7">
        <v>0.15770000000000001</v>
      </c>
      <c r="I210" s="7">
        <v>0.2084</v>
      </c>
      <c r="J210" s="7">
        <v>0.21479999999999999</v>
      </c>
      <c r="K210" s="7">
        <v>-0.27439999999999998</v>
      </c>
      <c r="L210" s="7">
        <v>8.9700000000000002E-2</v>
      </c>
      <c r="M210" s="8">
        <v>26065404.440000001</v>
      </c>
      <c r="N210" s="7">
        <v>4.0000000000000002E-4</v>
      </c>
      <c r="O210" s="5">
        <v>599</v>
      </c>
      <c r="P210" s="7">
        <v>8.0000000000000004E-4</v>
      </c>
      <c r="Q210" s="6">
        <v>46311</v>
      </c>
    </row>
    <row r="211" spans="1:17" ht="69.599999999999994" thickBot="1" x14ac:dyDescent="0.35">
      <c r="A211" s="9" t="s">
        <v>234</v>
      </c>
      <c r="B211" s="9" t="s">
        <v>265</v>
      </c>
      <c r="C211" s="9" t="s">
        <v>70</v>
      </c>
      <c r="D211" s="10">
        <v>45973</v>
      </c>
      <c r="E211" s="9" t="s">
        <v>60</v>
      </c>
      <c r="F211" s="9">
        <v>1.1454472499999999</v>
      </c>
      <c r="G211" s="11">
        <v>0.12330000000000001</v>
      </c>
      <c r="H211" s="11">
        <v>-4.8999999999999998E-3</v>
      </c>
      <c r="I211" s="9"/>
      <c r="J211" s="9"/>
      <c r="K211" s="9"/>
      <c r="L211" s="9"/>
      <c r="M211" s="12">
        <v>3315047.18</v>
      </c>
      <c r="N211" s="11">
        <v>1E-4</v>
      </c>
      <c r="O211" s="9">
        <v>48</v>
      </c>
      <c r="P211" s="11">
        <v>1E-4</v>
      </c>
      <c r="Q211" s="10">
        <v>46311</v>
      </c>
    </row>
    <row r="212" spans="1:17" ht="55.8" thickBot="1" x14ac:dyDescent="0.35">
      <c r="A212" s="5" t="s">
        <v>234</v>
      </c>
      <c r="B212" s="5" t="s">
        <v>266</v>
      </c>
      <c r="C212" s="5" t="s">
        <v>17</v>
      </c>
      <c r="D212" s="6">
        <v>40283</v>
      </c>
      <c r="E212" s="5" t="s">
        <v>60</v>
      </c>
      <c r="F212" s="5">
        <v>121.99518155</v>
      </c>
      <c r="G212" s="7">
        <v>4.7000000000000002E-3</v>
      </c>
      <c r="H212" s="7">
        <v>1.17E-2</v>
      </c>
      <c r="I212" s="7">
        <v>7.0000000000000007E-2</v>
      </c>
      <c r="J212" s="7">
        <v>0.1328</v>
      </c>
      <c r="K212" s="7">
        <v>-0.2334</v>
      </c>
      <c r="L212" s="7">
        <v>6.7599999999999993E-2</v>
      </c>
      <c r="M212" s="8">
        <v>27450722.600000001</v>
      </c>
      <c r="N212" s="7">
        <v>4.0000000000000002E-4</v>
      </c>
      <c r="O212" s="5">
        <v>355</v>
      </c>
      <c r="P212" s="7">
        <v>5.0000000000000001E-4</v>
      </c>
      <c r="Q212" s="6">
        <v>46311</v>
      </c>
    </row>
    <row r="213" spans="1:17" ht="55.8" thickBot="1" x14ac:dyDescent="0.35">
      <c r="A213" s="9" t="s">
        <v>234</v>
      </c>
      <c r="B213" s="9" t="s">
        <v>267</v>
      </c>
      <c r="C213" s="9" t="s">
        <v>17</v>
      </c>
      <c r="D213" s="10">
        <v>41663</v>
      </c>
      <c r="E213" s="9" t="s">
        <v>60</v>
      </c>
      <c r="F213" s="9">
        <v>202.67655257000001</v>
      </c>
      <c r="G213" s="11">
        <v>0.15440000000000001</v>
      </c>
      <c r="H213" s="11">
        <v>0.2611</v>
      </c>
      <c r="I213" s="11">
        <v>8.8300000000000003E-2</v>
      </c>
      <c r="J213" s="11">
        <v>0.13719999999999999</v>
      </c>
      <c r="K213" s="11">
        <v>-9.4E-2</v>
      </c>
      <c r="L213" s="11">
        <v>9.7299999999999998E-2</v>
      </c>
      <c r="M213" s="12">
        <v>106066662.26000001</v>
      </c>
      <c r="N213" s="11">
        <v>1.6000000000000001E-3</v>
      </c>
      <c r="O213" s="9">
        <v>872</v>
      </c>
      <c r="P213" s="11">
        <v>1.1999999999999999E-3</v>
      </c>
      <c r="Q213" s="10">
        <v>46311</v>
      </c>
    </row>
    <row r="214" spans="1:17" ht="55.8" thickBot="1" x14ac:dyDescent="0.35">
      <c r="A214" s="5" t="s">
        <v>234</v>
      </c>
      <c r="B214" s="5" t="s">
        <v>268</v>
      </c>
      <c r="C214" s="5" t="s">
        <v>17</v>
      </c>
      <c r="D214" s="6">
        <v>37413</v>
      </c>
      <c r="E214" s="5" t="s">
        <v>60</v>
      </c>
      <c r="F214" s="5">
        <v>188.08576851000001</v>
      </c>
      <c r="G214" s="7">
        <v>1.83E-2</v>
      </c>
      <c r="H214" s="7">
        <v>6.7500000000000004E-2</v>
      </c>
      <c r="I214" s="7">
        <v>4.4999999999999998E-2</v>
      </c>
      <c r="J214" s="7">
        <v>5.1400000000000001E-2</v>
      </c>
      <c r="K214" s="7">
        <v>-5.8900000000000001E-2</v>
      </c>
      <c r="L214" s="7">
        <v>1.44E-2</v>
      </c>
      <c r="M214" s="8">
        <v>14312405.939999999</v>
      </c>
      <c r="N214" s="7">
        <v>2.0000000000000001E-4</v>
      </c>
      <c r="O214" s="5">
        <v>144</v>
      </c>
      <c r="P214" s="7">
        <v>2.0000000000000001E-4</v>
      </c>
      <c r="Q214" s="6">
        <v>46311</v>
      </c>
    </row>
    <row r="215" spans="1:17" ht="55.8" thickBot="1" x14ac:dyDescent="0.35">
      <c r="A215" s="9" t="s">
        <v>234</v>
      </c>
      <c r="B215" s="9" t="s">
        <v>269</v>
      </c>
      <c r="C215" s="9" t="s">
        <v>17</v>
      </c>
      <c r="D215" s="10">
        <v>35906</v>
      </c>
      <c r="E215" s="9" t="s">
        <v>68</v>
      </c>
      <c r="F215" s="9">
        <v>284.14155572999999</v>
      </c>
      <c r="G215" s="11">
        <v>2.9100000000000001E-2</v>
      </c>
      <c r="H215" s="11">
        <v>7.1099999999999997E-2</v>
      </c>
      <c r="I215" s="11">
        <v>4.1700000000000001E-2</v>
      </c>
      <c r="J215" s="11">
        <v>6.6400000000000001E-2</v>
      </c>
      <c r="K215" s="11">
        <v>-4.2900000000000001E-2</v>
      </c>
      <c r="L215" s="11">
        <v>9.7000000000000003E-3</v>
      </c>
      <c r="M215" s="12">
        <v>13923262.539999999</v>
      </c>
      <c r="N215" s="11">
        <v>2.0000000000000001E-4</v>
      </c>
      <c r="O215" s="9">
        <v>639</v>
      </c>
      <c r="P215" s="11">
        <v>8.0000000000000004E-4</v>
      </c>
      <c r="Q215" s="10">
        <v>46311</v>
      </c>
    </row>
    <row r="216" spans="1:17" ht="55.8" thickBot="1" x14ac:dyDescent="0.35">
      <c r="A216" s="5" t="s">
        <v>234</v>
      </c>
      <c r="B216" s="5" t="s">
        <v>270</v>
      </c>
      <c r="C216" s="5" t="s">
        <v>17</v>
      </c>
      <c r="D216" s="6">
        <v>40822</v>
      </c>
      <c r="E216" s="5" t="s">
        <v>60</v>
      </c>
      <c r="F216" s="5">
        <v>75.545161820000004</v>
      </c>
      <c r="G216" s="7">
        <v>4.3999999999999997E-2</v>
      </c>
      <c r="H216" s="7">
        <v>0.1196</v>
      </c>
      <c r="I216" s="7">
        <v>7.0400000000000004E-2</v>
      </c>
      <c r="J216" s="7">
        <v>8.8800000000000004E-2</v>
      </c>
      <c r="K216" s="7">
        <v>-0.1119</v>
      </c>
      <c r="L216" s="7">
        <v>1.2500000000000001E-2</v>
      </c>
      <c r="M216" s="8">
        <v>6288604.8499999996</v>
      </c>
      <c r="N216" s="7">
        <v>1E-4</v>
      </c>
      <c r="O216" s="5">
        <v>179</v>
      </c>
      <c r="P216" s="7">
        <v>2.0000000000000001E-4</v>
      </c>
      <c r="Q216" s="6">
        <v>46311</v>
      </c>
    </row>
    <row r="217" spans="1:17" ht="55.8" thickBot="1" x14ac:dyDescent="0.35">
      <c r="A217" s="9" t="s">
        <v>234</v>
      </c>
      <c r="B217" s="9" t="s">
        <v>271</v>
      </c>
      <c r="C217" s="9" t="s">
        <v>17</v>
      </c>
      <c r="D217" s="10">
        <v>39157</v>
      </c>
      <c r="E217" s="9" t="s">
        <v>68</v>
      </c>
      <c r="F217" s="9">
        <v>141.9761599</v>
      </c>
      <c r="G217" s="11">
        <v>5.7500000000000002E-2</v>
      </c>
      <c r="H217" s="11">
        <v>0.1239</v>
      </c>
      <c r="I217" s="11">
        <v>7.0300000000000001E-2</v>
      </c>
      <c r="J217" s="11">
        <v>0.1077</v>
      </c>
      <c r="K217" s="11">
        <v>-9.6799999999999997E-2</v>
      </c>
      <c r="L217" s="11">
        <v>0.11559999999999999</v>
      </c>
      <c r="M217" s="12">
        <v>36122473.109999999</v>
      </c>
      <c r="N217" s="11">
        <v>5.0000000000000001E-4</v>
      </c>
      <c r="O217" s="12">
        <v>2273</v>
      </c>
      <c r="P217" s="11">
        <v>3.0000000000000001E-3</v>
      </c>
      <c r="Q217" s="10">
        <v>46311</v>
      </c>
    </row>
    <row r="218" spans="1:17" ht="55.8" thickBot="1" x14ac:dyDescent="0.35">
      <c r="A218" s="5" t="s">
        <v>234</v>
      </c>
      <c r="B218" s="5" t="s">
        <v>272</v>
      </c>
      <c r="C218" s="5" t="s">
        <v>17</v>
      </c>
      <c r="D218" s="6">
        <v>44273</v>
      </c>
      <c r="E218" s="5" t="s">
        <v>60</v>
      </c>
      <c r="F218" s="5">
        <v>117.47913284000001</v>
      </c>
      <c r="G218" s="7">
        <v>2.2499999999999999E-2</v>
      </c>
      <c r="H218" s="7">
        <v>8.4599999999999995E-2</v>
      </c>
      <c r="I218" s="7">
        <v>5.4600000000000003E-2</v>
      </c>
      <c r="J218" s="7">
        <v>7.3400000000000007E-2</v>
      </c>
      <c r="K218" s="7">
        <v>-8.3599999999999994E-2</v>
      </c>
      <c r="L218" s="7">
        <v>1.9300000000000001E-2</v>
      </c>
      <c r="M218" s="8">
        <v>4612624.18</v>
      </c>
      <c r="N218" s="7">
        <v>1E-4</v>
      </c>
      <c r="O218" s="5">
        <v>152</v>
      </c>
      <c r="P218" s="7">
        <v>2.0000000000000001E-4</v>
      </c>
      <c r="Q218" s="6">
        <v>46311</v>
      </c>
    </row>
    <row r="219" spans="1:17" ht="55.8" thickBot="1" x14ac:dyDescent="0.35">
      <c r="A219" s="9" t="s">
        <v>234</v>
      </c>
      <c r="B219" s="9" t="s">
        <v>273</v>
      </c>
      <c r="C219" s="9" t="s">
        <v>17</v>
      </c>
      <c r="D219" s="10">
        <v>39160</v>
      </c>
      <c r="E219" s="9" t="s">
        <v>68</v>
      </c>
      <c r="F219" s="9">
        <v>158.22304664000001</v>
      </c>
      <c r="G219" s="11">
        <v>3.4599999999999999E-2</v>
      </c>
      <c r="H219" s="11">
        <v>8.8599999999999998E-2</v>
      </c>
      <c r="I219" s="11">
        <v>5.0500000000000003E-2</v>
      </c>
      <c r="J219" s="11">
        <v>8.7499999999999994E-2</v>
      </c>
      <c r="K219" s="11">
        <v>-7.17E-2</v>
      </c>
      <c r="L219" s="11">
        <v>4.4999999999999998E-2</v>
      </c>
      <c r="M219" s="12">
        <v>24499152.440000001</v>
      </c>
      <c r="N219" s="11">
        <v>4.0000000000000002E-4</v>
      </c>
      <c r="O219" s="12">
        <v>2430</v>
      </c>
      <c r="P219" s="11">
        <v>3.2000000000000002E-3</v>
      </c>
      <c r="Q219" s="10">
        <v>46311</v>
      </c>
    </row>
    <row r="220" spans="1:17" ht="55.8" thickBot="1" x14ac:dyDescent="0.35">
      <c r="A220" s="5" t="s">
        <v>234</v>
      </c>
      <c r="B220" s="5" t="s">
        <v>274</v>
      </c>
      <c r="C220" s="5" t="s">
        <v>17</v>
      </c>
      <c r="D220" s="6">
        <v>45324</v>
      </c>
      <c r="E220" s="5" t="s">
        <v>60</v>
      </c>
      <c r="F220" s="5">
        <v>114.91520292</v>
      </c>
      <c r="G220" s="7">
        <v>0</v>
      </c>
      <c r="H220" s="7">
        <v>7.5499999999999998E-2</v>
      </c>
      <c r="I220" s="7">
        <v>5.5899999999999998E-2</v>
      </c>
      <c r="J220" s="5"/>
      <c r="K220" s="5"/>
      <c r="L220" s="5"/>
      <c r="M220" s="8">
        <v>123096348.68000001</v>
      </c>
      <c r="N220" s="7">
        <v>1.9E-3</v>
      </c>
      <c r="O220" s="5">
        <v>493</v>
      </c>
      <c r="P220" s="7">
        <v>6.9999999999999999E-4</v>
      </c>
      <c r="Q220" s="6">
        <v>46311</v>
      </c>
    </row>
    <row r="221" spans="1:17" ht="55.8" thickBot="1" x14ac:dyDescent="0.35">
      <c r="A221" s="9" t="s">
        <v>234</v>
      </c>
      <c r="B221" s="9" t="s">
        <v>275</v>
      </c>
      <c r="C221" s="9" t="s">
        <v>169</v>
      </c>
      <c r="D221" s="10">
        <v>44120</v>
      </c>
      <c r="E221" s="9" t="s">
        <v>60</v>
      </c>
      <c r="F221" s="9">
        <v>0</v>
      </c>
      <c r="G221" s="9"/>
      <c r="H221" s="9"/>
      <c r="I221" s="9"/>
      <c r="J221" s="9"/>
      <c r="K221" s="9"/>
      <c r="L221" s="9"/>
      <c r="M221" s="12">
        <v>186941917.16999999</v>
      </c>
      <c r="N221" s="11">
        <v>2.8E-3</v>
      </c>
      <c r="O221" s="9">
        <v>11</v>
      </c>
      <c r="P221" s="11">
        <v>0</v>
      </c>
      <c r="Q221" s="10">
        <v>46311</v>
      </c>
    </row>
    <row r="222" spans="1:17" ht="69.599999999999994" thickBot="1" x14ac:dyDescent="0.35">
      <c r="A222" s="5" t="s">
        <v>234</v>
      </c>
      <c r="B222" s="5" t="s">
        <v>276</v>
      </c>
      <c r="C222" s="5" t="s">
        <v>169</v>
      </c>
      <c r="D222" s="6">
        <v>44120</v>
      </c>
      <c r="E222" s="5" t="s">
        <v>60</v>
      </c>
      <c r="F222" s="5">
        <v>121.61071934</v>
      </c>
      <c r="G222" s="7">
        <v>4.07E-2</v>
      </c>
      <c r="H222" s="7">
        <v>5.3199999999999997E-2</v>
      </c>
      <c r="I222" s="7">
        <v>4.2299999999999997E-2</v>
      </c>
      <c r="J222" s="7">
        <v>8.2299999999999998E-2</v>
      </c>
      <c r="K222" s="7">
        <v>-0.14510000000000001</v>
      </c>
      <c r="L222" s="7">
        <v>0.1004</v>
      </c>
      <c r="M222" s="5"/>
      <c r="N222" s="5"/>
      <c r="O222" s="5">
        <v>8</v>
      </c>
      <c r="P222" s="7">
        <v>0</v>
      </c>
      <c r="Q222" s="6">
        <v>46311</v>
      </c>
    </row>
    <row r="223" spans="1:17" ht="69.599999999999994" thickBot="1" x14ac:dyDescent="0.35">
      <c r="A223" s="9" t="s">
        <v>234</v>
      </c>
      <c r="B223" s="9" t="s">
        <v>277</v>
      </c>
      <c r="C223" s="9" t="s">
        <v>169</v>
      </c>
      <c r="D223" s="10">
        <v>44120</v>
      </c>
      <c r="E223" s="9" t="s">
        <v>60</v>
      </c>
      <c r="F223" s="9">
        <v>111.22415220000001</v>
      </c>
      <c r="G223" s="11">
        <v>4.4499999999999998E-2</v>
      </c>
      <c r="H223" s="9"/>
      <c r="I223" s="9"/>
      <c r="J223" s="9"/>
      <c r="K223" s="9"/>
      <c r="L223" s="11">
        <v>-1</v>
      </c>
      <c r="M223" s="9"/>
      <c r="N223" s="9"/>
      <c r="O223" s="9">
        <v>3</v>
      </c>
      <c r="P223" s="11">
        <v>0</v>
      </c>
      <c r="Q223" s="10">
        <v>46311</v>
      </c>
    </row>
    <row r="224" spans="1:17" ht="69.599999999999994" thickBot="1" x14ac:dyDescent="0.35">
      <c r="A224" s="5" t="s">
        <v>234</v>
      </c>
      <c r="B224" s="5" t="s">
        <v>278</v>
      </c>
      <c r="C224" s="5" t="s">
        <v>18</v>
      </c>
      <c r="D224" s="6">
        <v>44256</v>
      </c>
      <c r="E224" s="5" t="s">
        <v>60</v>
      </c>
      <c r="F224" s="5">
        <v>75.455472999999998</v>
      </c>
      <c r="G224" s="7">
        <v>0</v>
      </c>
      <c r="H224" s="7">
        <v>0.38750000000000001</v>
      </c>
      <c r="I224" s="7">
        <v>7.7299999999999994E-2</v>
      </c>
      <c r="J224" s="7">
        <v>-0.22289999999999999</v>
      </c>
      <c r="K224" s="7">
        <v>-0.34010000000000001</v>
      </c>
      <c r="L224" s="7">
        <v>-1.23E-2</v>
      </c>
      <c r="M224" s="8">
        <v>26399321.780000001</v>
      </c>
      <c r="N224" s="7">
        <v>4.0000000000000002E-4</v>
      </c>
      <c r="O224" s="8">
        <v>2167</v>
      </c>
      <c r="P224" s="7">
        <v>2.8999999999999998E-3</v>
      </c>
      <c r="Q224" s="6">
        <v>46311</v>
      </c>
    </row>
    <row r="225" spans="1:17" ht="83.4" thickBot="1" x14ac:dyDescent="0.35">
      <c r="A225" s="9" t="s">
        <v>234</v>
      </c>
      <c r="B225" s="9" t="s">
        <v>279</v>
      </c>
      <c r="C225" s="9" t="s">
        <v>18</v>
      </c>
      <c r="D225" s="10">
        <v>45422</v>
      </c>
      <c r="E225" s="9" t="s">
        <v>60</v>
      </c>
      <c r="F225" s="9">
        <v>110.96530199999999</v>
      </c>
      <c r="G225" s="11">
        <v>1.9199999999999998E-2</v>
      </c>
      <c r="H225" s="11">
        <v>5.0099999999999999E-2</v>
      </c>
      <c r="I225" s="11">
        <v>3.27E-2</v>
      </c>
      <c r="J225" s="9"/>
      <c r="K225" s="9"/>
      <c r="L225" s="9"/>
      <c r="M225" s="12">
        <v>1341804006.8</v>
      </c>
      <c r="N225" s="11">
        <v>2.0400000000000001E-2</v>
      </c>
      <c r="O225" s="12">
        <v>3088</v>
      </c>
      <c r="P225" s="11">
        <v>4.1000000000000003E-3</v>
      </c>
      <c r="Q225" s="10">
        <v>46311</v>
      </c>
    </row>
    <row r="226" spans="1:17" ht="55.8" thickBot="1" x14ac:dyDescent="0.35">
      <c r="A226" s="5" t="s">
        <v>234</v>
      </c>
      <c r="B226" s="5" t="s">
        <v>280</v>
      </c>
      <c r="C226" s="5" t="s">
        <v>18</v>
      </c>
      <c r="D226" s="6">
        <v>42408</v>
      </c>
      <c r="E226" s="5" t="s">
        <v>60</v>
      </c>
      <c r="F226" s="5">
        <v>165.071966</v>
      </c>
      <c r="G226" s="7">
        <v>3.0700000000000002E-2</v>
      </c>
      <c r="H226" s="7">
        <v>0.11559999999999999</v>
      </c>
      <c r="I226" s="7">
        <v>7.1300000000000002E-2</v>
      </c>
      <c r="J226" s="7">
        <v>9.5600000000000004E-2</v>
      </c>
      <c r="K226" s="7">
        <v>-0.1666</v>
      </c>
      <c r="L226" s="7">
        <v>5.1299999999999998E-2</v>
      </c>
      <c r="M226" s="8">
        <v>111915175.88</v>
      </c>
      <c r="N226" s="7">
        <v>1.6999999999999999E-3</v>
      </c>
      <c r="O226" s="8">
        <v>1427</v>
      </c>
      <c r="P226" s="7">
        <v>1.9E-3</v>
      </c>
      <c r="Q226" s="6">
        <v>46311</v>
      </c>
    </row>
    <row r="227" spans="1:17" ht="69.599999999999994" thickBot="1" x14ac:dyDescent="0.35">
      <c r="A227" s="9" t="s">
        <v>234</v>
      </c>
      <c r="B227" s="9" t="s">
        <v>281</v>
      </c>
      <c r="C227" s="9" t="s">
        <v>18</v>
      </c>
      <c r="D227" s="10">
        <v>44123</v>
      </c>
      <c r="E227" s="9" t="s">
        <v>60</v>
      </c>
      <c r="F227" s="9">
        <v>114.886774</v>
      </c>
      <c r="G227" s="11">
        <v>3.7999999999999999E-2</v>
      </c>
      <c r="H227" s="11">
        <v>9.9199999999999997E-2</v>
      </c>
      <c r="I227" s="11">
        <v>0.10150000000000001</v>
      </c>
      <c r="J227" s="11">
        <v>0.29149999999999998</v>
      </c>
      <c r="K227" s="11">
        <v>-0.35749999999999998</v>
      </c>
      <c r="L227" s="11">
        <v>1.2E-2</v>
      </c>
      <c r="M227" s="12">
        <v>20805069.199999999</v>
      </c>
      <c r="N227" s="11">
        <v>2.9999999999999997E-4</v>
      </c>
      <c r="O227" s="9">
        <v>239</v>
      </c>
      <c r="P227" s="11">
        <v>2.9999999999999997E-4</v>
      </c>
      <c r="Q227" s="10">
        <v>46311</v>
      </c>
    </row>
    <row r="228" spans="1:17" ht="83.4" thickBot="1" x14ac:dyDescent="0.35">
      <c r="A228" s="5" t="s">
        <v>234</v>
      </c>
      <c r="B228" s="5" t="s">
        <v>282</v>
      </c>
      <c r="C228" s="5" t="s">
        <v>18</v>
      </c>
      <c r="D228" s="6">
        <v>44028</v>
      </c>
      <c r="E228" s="5" t="s">
        <v>60</v>
      </c>
      <c r="F228" s="5">
        <v>110.30004599999999</v>
      </c>
      <c r="G228" s="7">
        <v>8.9999999999999998E-4</v>
      </c>
      <c r="H228" s="7">
        <v>9.1200000000000003E-2</v>
      </c>
      <c r="I228" s="7">
        <v>2.4299999999999999E-2</v>
      </c>
      <c r="J228" s="7">
        <v>7.5200000000000003E-2</v>
      </c>
      <c r="K228" s="7">
        <v>-0.1241</v>
      </c>
      <c r="L228" s="7">
        <v>-4.1999999999999997E-3</v>
      </c>
      <c r="M228" s="8">
        <v>60558119.140000001</v>
      </c>
      <c r="N228" s="7">
        <v>8.9999999999999998E-4</v>
      </c>
      <c r="O228" s="5">
        <v>144</v>
      </c>
      <c r="P228" s="7">
        <v>2.0000000000000001E-4</v>
      </c>
      <c r="Q228" s="6">
        <v>46311</v>
      </c>
    </row>
    <row r="229" spans="1:17" ht="83.4" thickBot="1" x14ac:dyDescent="0.35">
      <c r="A229" s="9" t="s">
        <v>234</v>
      </c>
      <c r="B229" s="9" t="s">
        <v>283</v>
      </c>
      <c r="C229" s="9" t="s">
        <v>18</v>
      </c>
      <c r="D229" s="10">
        <v>44536</v>
      </c>
      <c r="E229" s="9" t="s">
        <v>60</v>
      </c>
      <c r="F229" s="9">
        <v>108.09797399999999</v>
      </c>
      <c r="G229" s="11">
        <v>0.1036</v>
      </c>
      <c r="H229" s="11">
        <v>0.17150000000000001</v>
      </c>
      <c r="I229" s="11">
        <v>2.23E-2</v>
      </c>
      <c r="J229" s="11">
        <v>7.8E-2</v>
      </c>
      <c r="K229" s="11">
        <v>-0.22420000000000001</v>
      </c>
      <c r="L229" s="11">
        <v>2.1499999999999998E-2</v>
      </c>
      <c r="M229" s="12">
        <v>5691716.0800000001</v>
      </c>
      <c r="N229" s="11">
        <v>1E-4</v>
      </c>
      <c r="O229" s="9">
        <v>141</v>
      </c>
      <c r="P229" s="11">
        <v>2.0000000000000001E-4</v>
      </c>
      <c r="Q229" s="10">
        <v>46311</v>
      </c>
    </row>
    <row r="230" spans="1:17" ht="69.599999999999994" thickBot="1" x14ac:dyDescent="0.35">
      <c r="A230" s="5" t="s">
        <v>234</v>
      </c>
      <c r="B230" s="5" t="s">
        <v>284</v>
      </c>
      <c r="C230" s="5" t="s">
        <v>19</v>
      </c>
      <c r="D230" s="6">
        <v>46113</v>
      </c>
      <c r="E230" s="5" t="s">
        <v>60</v>
      </c>
      <c r="F230" s="5">
        <v>10.215369580000001</v>
      </c>
      <c r="G230" s="7">
        <v>0.02</v>
      </c>
      <c r="H230" s="5"/>
      <c r="I230" s="5"/>
      <c r="J230" s="5"/>
      <c r="K230" s="5"/>
      <c r="L230" s="5"/>
      <c r="M230" s="8">
        <v>60756611.689999998</v>
      </c>
      <c r="N230" s="7">
        <v>8.9999999999999998E-4</v>
      </c>
      <c r="O230" s="5">
        <v>184</v>
      </c>
      <c r="P230" s="7">
        <v>2.0000000000000001E-4</v>
      </c>
      <c r="Q230" s="6">
        <v>46311</v>
      </c>
    </row>
    <row r="231" spans="1:17" ht="42" thickBot="1" x14ac:dyDescent="0.35">
      <c r="A231" s="9" t="s">
        <v>234</v>
      </c>
      <c r="B231" s="9" t="s">
        <v>285</v>
      </c>
      <c r="C231" s="9" t="s">
        <v>286</v>
      </c>
      <c r="D231" s="10">
        <v>45320</v>
      </c>
      <c r="E231" s="9" t="s">
        <v>60</v>
      </c>
      <c r="F231" s="9">
        <v>0</v>
      </c>
      <c r="G231" s="9"/>
      <c r="H231" s="9"/>
      <c r="I231" s="9"/>
      <c r="J231" s="9"/>
      <c r="K231" s="9"/>
      <c r="L231" s="9"/>
      <c r="M231" s="12">
        <v>1263324.67</v>
      </c>
      <c r="N231" s="11">
        <v>0</v>
      </c>
      <c r="O231" s="9">
        <v>10</v>
      </c>
      <c r="P231" s="11">
        <v>0</v>
      </c>
      <c r="Q231" s="10">
        <v>46311</v>
      </c>
    </row>
    <row r="232" spans="1:17" ht="55.8" thickBot="1" x14ac:dyDescent="0.35">
      <c r="A232" s="5" t="s">
        <v>234</v>
      </c>
      <c r="B232" s="5" t="s">
        <v>287</v>
      </c>
      <c r="C232" s="5" t="s">
        <v>286</v>
      </c>
      <c r="D232" s="6">
        <v>45320</v>
      </c>
      <c r="E232" s="5" t="s">
        <v>60</v>
      </c>
      <c r="F232" s="5">
        <v>149.05368999999999</v>
      </c>
      <c r="G232" s="7">
        <v>9.5399999999999999E-2</v>
      </c>
      <c r="H232" s="7">
        <v>0.16880000000000001</v>
      </c>
      <c r="I232" s="5"/>
      <c r="J232" s="5"/>
      <c r="K232" s="5"/>
      <c r="L232" s="5"/>
      <c r="M232" s="5"/>
      <c r="N232" s="5"/>
      <c r="O232" s="5">
        <v>1</v>
      </c>
      <c r="P232" s="7">
        <v>0</v>
      </c>
      <c r="Q232" s="6">
        <v>46311</v>
      </c>
    </row>
    <row r="233" spans="1:17" ht="55.8" thickBot="1" x14ac:dyDescent="0.35">
      <c r="A233" s="9" t="s">
        <v>234</v>
      </c>
      <c r="B233" s="9" t="s">
        <v>288</v>
      </c>
      <c r="C233" s="9" t="s">
        <v>286</v>
      </c>
      <c r="D233" s="10">
        <v>45320</v>
      </c>
      <c r="E233" s="9" t="s">
        <v>60</v>
      </c>
      <c r="F233" s="9">
        <v>147.89531411999999</v>
      </c>
      <c r="G233" s="11">
        <v>9.2899999999999996E-2</v>
      </c>
      <c r="H233" s="11">
        <v>0.16550000000000001</v>
      </c>
      <c r="I233" s="11">
        <v>0.15859999999999999</v>
      </c>
      <c r="J233" s="9"/>
      <c r="K233" s="9"/>
      <c r="L233" s="9"/>
      <c r="M233" s="9"/>
      <c r="N233" s="9"/>
      <c r="O233" s="9">
        <v>9</v>
      </c>
      <c r="P233" s="11">
        <v>0</v>
      </c>
      <c r="Q233" s="10">
        <v>46311</v>
      </c>
    </row>
    <row r="234" spans="1:17" ht="55.8" thickBot="1" x14ac:dyDescent="0.35">
      <c r="A234" s="5" t="s">
        <v>234</v>
      </c>
      <c r="B234" s="5" t="s">
        <v>289</v>
      </c>
      <c r="C234" s="5" t="s">
        <v>286</v>
      </c>
      <c r="D234" s="6">
        <v>44719</v>
      </c>
      <c r="E234" s="5" t="s">
        <v>60</v>
      </c>
      <c r="F234" s="5">
        <v>0</v>
      </c>
      <c r="G234" s="5"/>
      <c r="H234" s="5"/>
      <c r="I234" s="5"/>
      <c r="J234" s="5"/>
      <c r="K234" s="5"/>
      <c r="L234" s="5"/>
      <c r="M234" s="8">
        <v>6265303.9299999997</v>
      </c>
      <c r="N234" s="7">
        <v>1E-4</v>
      </c>
      <c r="O234" s="5">
        <v>17</v>
      </c>
      <c r="P234" s="7">
        <v>0</v>
      </c>
      <c r="Q234" s="6">
        <v>46311</v>
      </c>
    </row>
    <row r="235" spans="1:17" ht="69.599999999999994" thickBot="1" x14ac:dyDescent="0.35">
      <c r="A235" s="9" t="s">
        <v>234</v>
      </c>
      <c r="B235" s="9" t="s">
        <v>290</v>
      </c>
      <c r="C235" s="9" t="s">
        <v>286</v>
      </c>
      <c r="D235" s="10">
        <v>44719</v>
      </c>
      <c r="E235" s="9" t="s">
        <v>60</v>
      </c>
      <c r="F235" s="9">
        <v>129.69621620999999</v>
      </c>
      <c r="G235" s="11">
        <v>-5.4000000000000003E-3</v>
      </c>
      <c r="H235" s="11">
        <v>5.79E-2</v>
      </c>
      <c r="I235" s="11">
        <v>0.10390000000000001</v>
      </c>
      <c r="J235" s="11">
        <v>9.11E-2</v>
      </c>
      <c r="K235" s="11">
        <v>0.02</v>
      </c>
      <c r="L235" s="9"/>
      <c r="M235" s="9"/>
      <c r="N235" s="9"/>
      <c r="O235" s="9">
        <v>7</v>
      </c>
      <c r="P235" s="11">
        <v>0</v>
      </c>
      <c r="Q235" s="10">
        <v>46311</v>
      </c>
    </row>
    <row r="236" spans="1:17" ht="69.599999999999994" thickBot="1" x14ac:dyDescent="0.35">
      <c r="A236" s="5" t="s">
        <v>234</v>
      </c>
      <c r="B236" s="5" t="s">
        <v>291</v>
      </c>
      <c r="C236" s="5" t="s">
        <v>286</v>
      </c>
      <c r="D236" s="6">
        <v>44719</v>
      </c>
      <c r="E236" s="5" t="s">
        <v>60</v>
      </c>
      <c r="F236" s="5">
        <v>127.60529728</v>
      </c>
      <c r="G236" s="7">
        <v>-7.7999999999999996E-3</v>
      </c>
      <c r="H236" s="7">
        <v>5.4800000000000001E-2</v>
      </c>
      <c r="I236" s="7">
        <v>0.1007</v>
      </c>
      <c r="J236" s="7">
        <v>8.7900000000000006E-2</v>
      </c>
      <c r="K236" s="7">
        <v>1.83E-2</v>
      </c>
      <c r="L236" s="5"/>
      <c r="M236" s="5"/>
      <c r="N236" s="5"/>
      <c r="O236" s="5">
        <v>8</v>
      </c>
      <c r="P236" s="7">
        <v>0</v>
      </c>
      <c r="Q236" s="6">
        <v>46311</v>
      </c>
    </row>
    <row r="237" spans="1:17" ht="69.599999999999994" thickBot="1" x14ac:dyDescent="0.35">
      <c r="A237" s="9" t="s">
        <v>234</v>
      </c>
      <c r="B237" s="9" t="s">
        <v>292</v>
      </c>
      <c r="C237" s="9" t="s">
        <v>286</v>
      </c>
      <c r="D237" s="10">
        <v>44719</v>
      </c>
      <c r="E237" s="9" t="s">
        <v>60</v>
      </c>
      <c r="F237" s="9">
        <v>130.4191639</v>
      </c>
      <c r="G237" s="11">
        <v>-4.3E-3</v>
      </c>
      <c r="H237" s="11">
        <v>5.9200000000000003E-2</v>
      </c>
      <c r="I237" s="11">
        <v>0.1052</v>
      </c>
      <c r="J237" s="11">
        <v>9.2399999999999996E-2</v>
      </c>
      <c r="K237" s="11">
        <v>2.07E-2</v>
      </c>
      <c r="L237" s="9"/>
      <c r="M237" s="9"/>
      <c r="N237" s="9"/>
      <c r="O237" s="9">
        <v>2</v>
      </c>
      <c r="P237" s="11">
        <v>0</v>
      </c>
      <c r="Q237" s="10">
        <v>46311</v>
      </c>
    </row>
    <row r="238" spans="1:17" ht="55.8" thickBot="1" x14ac:dyDescent="0.35">
      <c r="A238" s="5" t="s">
        <v>234</v>
      </c>
      <c r="B238" s="5" t="s">
        <v>293</v>
      </c>
      <c r="C238" s="5" t="s">
        <v>63</v>
      </c>
      <c r="D238" s="6">
        <v>43993</v>
      </c>
      <c r="E238" s="5" t="s">
        <v>60</v>
      </c>
      <c r="F238" s="5">
        <v>111.47997528000001</v>
      </c>
      <c r="G238" s="7">
        <v>3.0200000000000001E-2</v>
      </c>
      <c r="H238" s="7">
        <v>8.4699999999999998E-2</v>
      </c>
      <c r="I238" s="7">
        <v>1.8200000000000001E-2</v>
      </c>
      <c r="J238" s="7">
        <v>3.73E-2</v>
      </c>
      <c r="K238" s="7">
        <v>-0.1237</v>
      </c>
      <c r="L238" s="7">
        <v>-2.3E-2</v>
      </c>
      <c r="M238" s="8">
        <v>4019576.22</v>
      </c>
      <c r="N238" s="7">
        <v>1E-4</v>
      </c>
      <c r="O238" s="5">
        <v>57</v>
      </c>
      <c r="P238" s="7">
        <v>1E-4</v>
      </c>
      <c r="Q238" s="6">
        <v>46311</v>
      </c>
    </row>
    <row r="239" spans="1:17" ht="69.599999999999994" thickBot="1" x14ac:dyDescent="0.35">
      <c r="A239" s="9" t="s">
        <v>234</v>
      </c>
      <c r="B239" s="9" t="s">
        <v>294</v>
      </c>
      <c r="C239" s="9" t="s">
        <v>63</v>
      </c>
      <c r="D239" s="10">
        <v>43993</v>
      </c>
      <c r="E239" s="9" t="s">
        <v>60</v>
      </c>
      <c r="F239" s="9">
        <v>192.92432707</v>
      </c>
      <c r="G239" s="11">
        <v>0.10970000000000001</v>
      </c>
      <c r="H239" s="11">
        <v>0.1469</v>
      </c>
      <c r="I239" s="11">
        <v>0.11700000000000001</v>
      </c>
      <c r="J239" s="11">
        <v>0.16170000000000001</v>
      </c>
      <c r="K239" s="11">
        <v>-0.21279999999999999</v>
      </c>
      <c r="L239" s="11">
        <v>0.11210000000000001</v>
      </c>
      <c r="M239" s="12">
        <v>14249145.890000001</v>
      </c>
      <c r="N239" s="11">
        <v>2.0000000000000001E-4</v>
      </c>
      <c r="O239" s="9">
        <v>127</v>
      </c>
      <c r="P239" s="11">
        <v>2.0000000000000001E-4</v>
      </c>
      <c r="Q239" s="10">
        <v>46311</v>
      </c>
    </row>
    <row r="240" spans="1:17" ht="55.8" thickBot="1" x14ac:dyDescent="0.35">
      <c r="A240" s="5" t="s">
        <v>234</v>
      </c>
      <c r="B240" s="5" t="s">
        <v>423</v>
      </c>
      <c r="C240" s="5" t="s">
        <v>63</v>
      </c>
      <c r="D240" s="6">
        <v>46171</v>
      </c>
      <c r="E240" s="5" t="s">
        <v>60</v>
      </c>
      <c r="F240" s="5">
        <v>95.18016136</v>
      </c>
      <c r="G240" s="7">
        <v>-4.82E-2</v>
      </c>
      <c r="H240" s="5"/>
      <c r="I240" s="5"/>
      <c r="J240" s="5"/>
      <c r="K240" s="5"/>
      <c r="L240" s="5"/>
      <c r="M240" s="8">
        <v>2919449.01</v>
      </c>
      <c r="N240" s="7">
        <v>0</v>
      </c>
      <c r="O240" s="5">
        <v>46</v>
      </c>
      <c r="P240" s="7">
        <v>1E-4</v>
      </c>
      <c r="Q240" s="6">
        <v>46311</v>
      </c>
    </row>
    <row r="241" spans="1:17" ht="55.8" thickBot="1" x14ac:dyDescent="0.35">
      <c r="A241" s="9" t="s">
        <v>234</v>
      </c>
      <c r="B241" s="9" t="s">
        <v>295</v>
      </c>
      <c r="C241" s="9" t="s">
        <v>31</v>
      </c>
      <c r="D241" s="10">
        <v>45953</v>
      </c>
      <c r="E241" s="9" t="s">
        <v>60</v>
      </c>
      <c r="F241" s="9">
        <v>54.248199999999997</v>
      </c>
      <c r="G241" s="11">
        <v>5.4899999999999997E-2</v>
      </c>
      <c r="H241" s="11">
        <v>2.7300000000000001E-2</v>
      </c>
      <c r="I241" s="9"/>
      <c r="J241" s="9"/>
      <c r="K241" s="9"/>
      <c r="L241" s="9"/>
      <c r="M241" s="12">
        <v>11000587.02</v>
      </c>
      <c r="N241" s="11">
        <v>2.0000000000000001E-4</v>
      </c>
      <c r="O241" s="9">
        <v>78</v>
      </c>
      <c r="P241" s="11">
        <v>1E-4</v>
      </c>
      <c r="Q241" s="10">
        <v>46311</v>
      </c>
    </row>
    <row r="242" spans="1:17" ht="55.8" thickBot="1" x14ac:dyDescent="0.35">
      <c r="A242" s="5" t="s">
        <v>234</v>
      </c>
      <c r="B242" s="5" t="s">
        <v>296</v>
      </c>
      <c r="C242" s="5" t="s">
        <v>31</v>
      </c>
      <c r="D242" s="6">
        <v>43817</v>
      </c>
      <c r="E242" s="5" t="s">
        <v>60</v>
      </c>
      <c r="F242" s="5">
        <v>53.183900000000001</v>
      </c>
      <c r="G242" s="7">
        <v>-1.04E-2</v>
      </c>
      <c r="H242" s="7">
        <v>6.6799999999999998E-2</v>
      </c>
      <c r="I242" s="7">
        <v>3.4500000000000003E-2</v>
      </c>
      <c r="J242" s="7">
        <v>3.85E-2</v>
      </c>
      <c r="K242" s="7">
        <v>-9.01E-2</v>
      </c>
      <c r="L242" s="7">
        <v>-6.8999999999999999E-3</v>
      </c>
      <c r="M242" s="8">
        <v>7902327.7800000003</v>
      </c>
      <c r="N242" s="7">
        <v>1E-4</v>
      </c>
      <c r="O242" s="5">
        <v>242</v>
      </c>
      <c r="P242" s="7">
        <v>2.9999999999999997E-4</v>
      </c>
      <c r="Q242" s="6">
        <v>46311</v>
      </c>
    </row>
    <row r="243" spans="1:17" ht="55.8" thickBot="1" x14ac:dyDescent="0.35">
      <c r="A243" s="9" t="s">
        <v>234</v>
      </c>
      <c r="B243" s="9" t="s">
        <v>297</v>
      </c>
      <c r="C243" s="9" t="s">
        <v>31</v>
      </c>
      <c r="D243" s="10">
        <v>44896</v>
      </c>
      <c r="E243" s="9" t="s">
        <v>60</v>
      </c>
      <c r="F243" s="9">
        <v>85.140900000000002</v>
      </c>
      <c r="G243" s="11">
        <v>8.3000000000000004E-2</v>
      </c>
      <c r="H243" s="11">
        <v>0.1389</v>
      </c>
      <c r="I243" s="11">
        <v>0.18690000000000001</v>
      </c>
      <c r="J243" s="11">
        <v>0.2165</v>
      </c>
      <c r="K243" s="11">
        <v>-5.1999999999999998E-2</v>
      </c>
      <c r="L243" s="9"/>
      <c r="M243" s="12">
        <v>67773122.060000002</v>
      </c>
      <c r="N243" s="11">
        <v>1E-3</v>
      </c>
      <c r="O243" s="12">
        <v>1174</v>
      </c>
      <c r="P243" s="11">
        <v>1.6000000000000001E-3</v>
      </c>
      <c r="Q243" s="10">
        <v>46311</v>
      </c>
    </row>
    <row r="244" spans="1:17" ht="55.8" thickBot="1" x14ac:dyDescent="0.35">
      <c r="A244" s="5" t="s">
        <v>234</v>
      </c>
      <c r="B244" s="5" t="s">
        <v>298</v>
      </c>
      <c r="C244" s="5" t="s">
        <v>31</v>
      </c>
      <c r="D244" s="6">
        <v>45945</v>
      </c>
      <c r="E244" s="5" t="s">
        <v>60</v>
      </c>
      <c r="F244" s="5">
        <v>43.814999999999998</v>
      </c>
      <c r="G244" s="7">
        <v>-0.12640000000000001</v>
      </c>
      <c r="H244" s="7">
        <v>2.0999999999999999E-3</v>
      </c>
      <c r="I244" s="5"/>
      <c r="J244" s="5"/>
      <c r="K244" s="5"/>
      <c r="L244" s="5"/>
      <c r="M244" s="8">
        <v>4170951.95</v>
      </c>
      <c r="N244" s="7">
        <v>1E-4</v>
      </c>
      <c r="O244" s="5">
        <v>135</v>
      </c>
      <c r="P244" s="7">
        <v>2.0000000000000001E-4</v>
      </c>
      <c r="Q244" s="6">
        <v>46311</v>
      </c>
    </row>
    <row r="245" spans="1:17" ht="69.599999999999994" thickBot="1" x14ac:dyDescent="0.35">
      <c r="A245" s="9" t="s">
        <v>234</v>
      </c>
      <c r="B245" s="9" t="s">
        <v>299</v>
      </c>
      <c r="C245" s="9" t="s">
        <v>31</v>
      </c>
      <c r="D245" s="10">
        <v>44466</v>
      </c>
      <c r="E245" s="9" t="s">
        <v>60</v>
      </c>
      <c r="F245" s="9">
        <v>50.976999999999997</v>
      </c>
      <c r="G245" s="11">
        <v>-0.1125</v>
      </c>
      <c r="H245" s="11">
        <v>2.8199999999999999E-2</v>
      </c>
      <c r="I245" s="11">
        <v>3.0599999999999999E-2</v>
      </c>
      <c r="J245" s="11">
        <v>2.46E-2</v>
      </c>
      <c r="K245" s="11">
        <v>5.04E-2</v>
      </c>
      <c r="L245" s="11">
        <v>5.3E-3</v>
      </c>
      <c r="M245" s="12">
        <v>259440832.44</v>
      </c>
      <c r="N245" s="11">
        <v>3.8999999999999998E-3</v>
      </c>
      <c r="O245" s="9">
        <v>694</v>
      </c>
      <c r="P245" s="11">
        <v>8.9999999999999998E-4</v>
      </c>
      <c r="Q245" s="10">
        <v>46311</v>
      </c>
    </row>
    <row r="246" spans="1:17" ht="55.8" thickBot="1" x14ac:dyDescent="0.35">
      <c r="A246" s="5" t="s">
        <v>234</v>
      </c>
      <c r="B246" s="5" t="s">
        <v>300</v>
      </c>
      <c r="C246" s="5" t="s">
        <v>31</v>
      </c>
      <c r="D246" s="6">
        <v>45946</v>
      </c>
      <c r="E246" s="5" t="s">
        <v>68</v>
      </c>
      <c r="F246" s="5">
        <v>105.316</v>
      </c>
      <c r="G246" s="7">
        <v>-1</v>
      </c>
      <c r="H246" s="7">
        <v>9.5999999999999992E-3</v>
      </c>
      <c r="I246" s="5"/>
      <c r="J246" s="5"/>
      <c r="K246" s="5"/>
      <c r="L246" s="5"/>
      <c r="M246" s="5">
        <v>9.86</v>
      </c>
      <c r="N246" s="7">
        <v>0</v>
      </c>
      <c r="O246" s="5">
        <v>154</v>
      </c>
      <c r="P246" s="7">
        <v>2.0000000000000001E-4</v>
      </c>
      <c r="Q246" s="6">
        <v>46306</v>
      </c>
    </row>
    <row r="247" spans="1:17" ht="42" thickBot="1" x14ac:dyDescent="0.35">
      <c r="A247" s="9" t="s">
        <v>234</v>
      </c>
      <c r="B247" s="9" t="s">
        <v>301</v>
      </c>
      <c r="C247" s="9" t="s">
        <v>31</v>
      </c>
      <c r="D247" s="10">
        <v>46002</v>
      </c>
      <c r="E247" s="9" t="s">
        <v>68</v>
      </c>
      <c r="F247" s="9">
        <v>104.1699</v>
      </c>
      <c r="G247" s="11">
        <v>-1</v>
      </c>
      <c r="H247" s="11">
        <v>1E-3</v>
      </c>
      <c r="I247" s="9"/>
      <c r="J247" s="9"/>
      <c r="K247" s="9"/>
      <c r="L247" s="9"/>
      <c r="M247" s="9">
        <v>-2.84</v>
      </c>
      <c r="N247" s="11">
        <v>0</v>
      </c>
      <c r="O247" s="9">
        <v>46</v>
      </c>
      <c r="P247" s="11">
        <v>1E-4</v>
      </c>
      <c r="Q247" s="10">
        <v>46292</v>
      </c>
    </row>
    <row r="248" spans="1:17" ht="69.599999999999994" thickBot="1" x14ac:dyDescent="0.35">
      <c r="A248" s="5" t="s">
        <v>234</v>
      </c>
      <c r="B248" s="5" t="s">
        <v>302</v>
      </c>
      <c r="C248" s="5" t="s">
        <v>31</v>
      </c>
      <c r="D248" s="6">
        <v>45946</v>
      </c>
      <c r="E248" s="5" t="s">
        <v>60</v>
      </c>
      <c r="F248" s="5">
        <v>52.123899999999999</v>
      </c>
      <c r="G248" s="7">
        <v>-1</v>
      </c>
      <c r="H248" s="7">
        <v>8.5000000000000006E-3</v>
      </c>
      <c r="I248" s="5"/>
      <c r="J248" s="5"/>
      <c r="K248" s="5"/>
      <c r="L248" s="5"/>
      <c r="M248" s="5">
        <v>-19.22</v>
      </c>
      <c r="N248" s="7">
        <v>0</v>
      </c>
      <c r="O248" s="5">
        <v>127</v>
      </c>
      <c r="P248" s="7">
        <v>2.0000000000000001E-4</v>
      </c>
      <c r="Q248" s="6">
        <v>46306</v>
      </c>
    </row>
    <row r="249" spans="1:17" ht="55.8" thickBot="1" x14ac:dyDescent="0.35">
      <c r="A249" s="9" t="s">
        <v>234</v>
      </c>
      <c r="B249" s="9" t="s">
        <v>303</v>
      </c>
      <c r="C249" s="9" t="s">
        <v>31</v>
      </c>
      <c r="D249" s="10">
        <v>45974</v>
      </c>
      <c r="E249" s="9" t="s">
        <v>60</v>
      </c>
      <c r="F249" s="9">
        <v>51.930900000000001</v>
      </c>
      <c r="G249" s="11">
        <v>-1</v>
      </c>
      <c r="H249" s="11">
        <v>5.4999999999999997E-3</v>
      </c>
      <c r="I249" s="9"/>
      <c r="J249" s="9"/>
      <c r="K249" s="9"/>
      <c r="L249" s="9"/>
      <c r="M249" s="9">
        <v>22.57</v>
      </c>
      <c r="N249" s="11">
        <v>0</v>
      </c>
      <c r="O249" s="9">
        <v>130</v>
      </c>
      <c r="P249" s="11">
        <v>2.0000000000000001E-4</v>
      </c>
      <c r="Q249" s="10">
        <v>46304</v>
      </c>
    </row>
    <row r="250" spans="1:17" ht="55.8" thickBot="1" x14ac:dyDescent="0.35">
      <c r="A250" s="5" t="s">
        <v>234</v>
      </c>
      <c r="B250" s="5" t="s">
        <v>304</v>
      </c>
      <c r="C250" s="5" t="s">
        <v>31</v>
      </c>
      <c r="D250" s="6">
        <v>46111</v>
      </c>
      <c r="E250" s="5" t="s">
        <v>60</v>
      </c>
      <c r="F250" s="5">
        <v>51.261000000000003</v>
      </c>
      <c r="G250" s="7">
        <v>2.3199999999999998E-2</v>
      </c>
      <c r="H250" s="5"/>
      <c r="I250" s="5"/>
      <c r="J250" s="5"/>
      <c r="K250" s="5"/>
      <c r="L250" s="5"/>
      <c r="M250" s="8">
        <v>80931919.390000001</v>
      </c>
      <c r="N250" s="7">
        <v>1.1999999999999999E-3</v>
      </c>
      <c r="O250" s="5">
        <v>221</v>
      </c>
      <c r="P250" s="7">
        <v>2.9999999999999997E-4</v>
      </c>
      <c r="Q250" s="6">
        <v>46311</v>
      </c>
    </row>
    <row r="251" spans="1:17" ht="55.8" thickBot="1" x14ac:dyDescent="0.35">
      <c r="A251" s="9" t="s">
        <v>234</v>
      </c>
      <c r="B251" s="9" t="s">
        <v>305</v>
      </c>
      <c r="C251" s="9" t="s">
        <v>31</v>
      </c>
      <c r="D251" s="10">
        <v>46132</v>
      </c>
      <c r="E251" s="9" t="s">
        <v>60</v>
      </c>
      <c r="F251" s="9">
        <v>51.131500000000003</v>
      </c>
      <c r="G251" s="11">
        <v>2.0899999999999998E-2</v>
      </c>
      <c r="H251" s="9"/>
      <c r="I251" s="9"/>
      <c r="J251" s="9"/>
      <c r="K251" s="9"/>
      <c r="L251" s="9"/>
      <c r="M251" s="12">
        <v>56397365.210000001</v>
      </c>
      <c r="N251" s="11">
        <v>8.9999999999999998E-4</v>
      </c>
      <c r="O251" s="9">
        <v>225</v>
      </c>
      <c r="P251" s="11">
        <v>2.9999999999999997E-4</v>
      </c>
      <c r="Q251" s="10">
        <v>46311</v>
      </c>
    </row>
    <row r="252" spans="1:17" ht="55.8" thickBot="1" x14ac:dyDescent="0.35">
      <c r="A252" s="5" t="s">
        <v>234</v>
      </c>
      <c r="B252" s="5" t="s">
        <v>306</v>
      </c>
      <c r="C252" s="5" t="s">
        <v>31</v>
      </c>
      <c r="D252" s="6">
        <v>46169</v>
      </c>
      <c r="E252" s="5" t="s">
        <v>60</v>
      </c>
      <c r="F252" s="5">
        <v>50.877899999999997</v>
      </c>
      <c r="G252" s="7">
        <v>1.6500000000000001E-2</v>
      </c>
      <c r="H252" s="5"/>
      <c r="I252" s="5"/>
      <c r="J252" s="5"/>
      <c r="K252" s="5"/>
      <c r="L252" s="5"/>
      <c r="M252" s="8">
        <v>69582270.480000004</v>
      </c>
      <c r="N252" s="7">
        <v>1.1000000000000001E-3</v>
      </c>
      <c r="O252" s="5">
        <v>167</v>
      </c>
      <c r="P252" s="7">
        <v>2.0000000000000001E-4</v>
      </c>
      <c r="Q252" s="6">
        <v>46311</v>
      </c>
    </row>
    <row r="253" spans="1:17" ht="55.8" thickBot="1" x14ac:dyDescent="0.35">
      <c r="A253" s="9" t="s">
        <v>234</v>
      </c>
      <c r="B253" s="9" t="s">
        <v>307</v>
      </c>
      <c r="C253" s="9" t="s">
        <v>31</v>
      </c>
      <c r="D253" s="10">
        <v>46225</v>
      </c>
      <c r="E253" s="9" t="s">
        <v>60</v>
      </c>
      <c r="F253" s="9">
        <v>50.590899999999998</v>
      </c>
      <c r="G253" s="11">
        <v>9.7999999999999997E-3</v>
      </c>
      <c r="H253" s="9"/>
      <c r="I253" s="9"/>
      <c r="J253" s="9"/>
      <c r="K253" s="9"/>
      <c r="L253" s="9"/>
      <c r="M253" s="12">
        <v>73103836.290000007</v>
      </c>
      <c r="N253" s="11">
        <v>1.1000000000000001E-3</v>
      </c>
      <c r="O253" s="9">
        <v>174</v>
      </c>
      <c r="P253" s="11">
        <v>2.0000000000000001E-4</v>
      </c>
      <c r="Q253" s="10">
        <v>46311</v>
      </c>
    </row>
    <row r="254" spans="1:17" ht="55.8" thickBot="1" x14ac:dyDescent="0.35">
      <c r="A254" s="5" t="s">
        <v>234</v>
      </c>
      <c r="B254" s="5" t="s">
        <v>308</v>
      </c>
      <c r="C254" s="5" t="s">
        <v>31</v>
      </c>
      <c r="D254" s="6">
        <v>46276</v>
      </c>
      <c r="E254" s="5" t="s">
        <v>60</v>
      </c>
      <c r="F254" s="5">
        <v>50.343499999999999</v>
      </c>
      <c r="G254" s="7">
        <v>4.1999999999999997E-3</v>
      </c>
      <c r="H254" s="5"/>
      <c r="I254" s="5"/>
      <c r="J254" s="5"/>
      <c r="K254" s="5"/>
      <c r="L254" s="5"/>
      <c r="M254" s="8">
        <v>68914192.670000002</v>
      </c>
      <c r="N254" s="7">
        <v>1E-3</v>
      </c>
      <c r="O254" s="5">
        <v>209</v>
      </c>
      <c r="P254" s="7">
        <v>2.9999999999999997E-4</v>
      </c>
      <c r="Q254" s="6">
        <v>46311</v>
      </c>
    </row>
    <row r="255" spans="1:17" ht="55.8" thickBot="1" x14ac:dyDescent="0.35">
      <c r="A255" s="9" t="s">
        <v>234</v>
      </c>
      <c r="B255" s="9" t="s">
        <v>309</v>
      </c>
      <c r="C255" s="9" t="s">
        <v>31</v>
      </c>
      <c r="D255" s="10">
        <v>46304</v>
      </c>
      <c r="E255" s="9" t="s">
        <v>60</v>
      </c>
      <c r="F255" s="9">
        <v>50.166499999999999</v>
      </c>
      <c r="G255" s="11">
        <v>8.9999999999999998E-4</v>
      </c>
      <c r="H255" s="9"/>
      <c r="I255" s="9"/>
      <c r="J255" s="9"/>
      <c r="K255" s="9"/>
      <c r="L255" s="9"/>
      <c r="M255" s="12">
        <v>103626163.19</v>
      </c>
      <c r="N255" s="11">
        <v>1.6000000000000001E-3</v>
      </c>
      <c r="O255" s="9">
        <v>314</v>
      </c>
      <c r="P255" s="11">
        <v>4.0000000000000002E-4</v>
      </c>
      <c r="Q255" s="10">
        <v>46311</v>
      </c>
    </row>
    <row r="256" spans="1:17" ht="28.2" thickBot="1" x14ac:dyDescent="0.35">
      <c r="A256" s="5" t="s">
        <v>234</v>
      </c>
      <c r="B256" s="5" t="s">
        <v>310</v>
      </c>
      <c r="C256" s="5"/>
      <c r="D256" s="6">
        <v>45035</v>
      </c>
      <c r="E256" s="5" t="s">
        <v>60</v>
      </c>
      <c r="F256" s="5">
        <v>0</v>
      </c>
      <c r="G256" s="5"/>
      <c r="H256" s="5"/>
      <c r="I256" s="5"/>
      <c r="J256" s="5"/>
      <c r="K256" s="5"/>
      <c r="L256" s="5"/>
      <c r="M256" s="5">
        <v>0</v>
      </c>
      <c r="N256" s="7">
        <v>0</v>
      </c>
      <c r="O256" s="5">
        <v>0</v>
      </c>
      <c r="P256" s="7">
        <v>0</v>
      </c>
      <c r="Q256" s="6">
        <v>45728</v>
      </c>
    </row>
    <row r="257" spans="1:17" ht="42" thickBot="1" x14ac:dyDescent="0.35">
      <c r="A257" s="9" t="s">
        <v>234</v>
      </c>
      <c r="B257" s="9" t="s">
        <v>311</v>
      </c>
      <c r="C257" s="9"/>
      <c r="D257" s="10">
        <v>45035</v>
      </c>
      <c r="E257" s="9" t="s">
        <v>60</v>
      </c>
      <c r="F257" s="9">
        <v>0.98316000000000003</v>
      </c>
      <c r="G257" s="9"/>
      <c r="H257" s="9"/>
      <c r="I257" s="11">
        <v>-1</v>
      </c>
      <c r="J257" s="9"/>
      <c r="K257" s="9"/>
      <c r="L257" s="9"/>
      <c r="M257" s="9"/>
      <c r="N257" s="9"/>
      <c r="O257" s="9">
        <v>19</v>
      </c>
      <c r="P257" s="11">
        <v>0</v>
      </c>
      <c r="Q257" s="10">
        <v>45644</v>
      </c>
    </row>
    <row r="258" spans="1:17" ht="42" thickBot="1" x14ac:dyDescent="0.35">
      <c r="A258" s="5" t="s">
        <v>234</v>
      </c>
      <c r="B258" s="5" t="s">
        <v>312</v>
      </c>
      <c r="C258" s="5"/>
      <c r="D258" s="6">
        <v>45035</v>
      </c>
      <c r="E258" s="5" t="s">
        <v>60</v>
      </c>
      <c r="F258" s="5">
        <v>0.98407999999999995</v>
      </c>
      <c r="G258" s="5"/>
      <c r="H258" s="5"/>
      <c r="I258" s="7">
        <v>-1</v>
      </c>
      <c r="J258" s="5"/>
      <c r="K258" s="5"/>
      <c r="L258" s="5"/>
      <c r="M258" s="5"/>
      <c r="N258" s="5"/>
      <c r="O258" s="5">
        <v>11</v>
      </c>
      <c r="P258" s="7">
        <v>0</v>
      </c>
      <c r="Q258" s="6">
        <v>45644</v>
      </c>
    </row>
    <row r="259" spans="1:17" ht="69.599999999999994" thickBot="1" x14ac:dyDescent="0.35">
      <c r="A259" s="9" t="s">
        <v>234</v>
      </c>
      <c r="B259" s="9" t="s">
        <v>313</v>
      </c>
      <c r="C259" s="9" t="s">
        <v>20</v>
      </c>
      <c r="D259" s="10">
        <v>44880</v>
      </c>
      <c r="E259" s="9" t="s">
        <v>60</v>
      </c>
      <c r="F259" s="9">
        <v>118.0944329</v>
      </c>
      <c r="G259" s="11">
        <v>2.4E-2</v>
      </c>
      <c r="H259" s="11">
        <v>3.9399999999999998E-2</v>
      </c>
      <c r="I259" s="11">
        <v>4.8599999999999997E-2</v>
      </c>
      <c r="J259" s="11">
        <v>4.7E-2</v>
      </c>
      <c r="K259" s="11">
        <v>4.5999999999999999E-3</v>
      </c>
      <c r="L259" s="9"/>
      <c r="M259" s="12">
        <v>39033423.090000004</v>
      </c>
      <c r="N259" s="11">
        <v>5.9999999999999995E-4</v>
      </c>
      <c r="O259" s="9">
        <v>227</v>
      </c>
      <c r="P259" s="11">
        <v>2.9999999999999997E-4</v>
      </c>
      <c r="Q259" s="10">
        <v>46311</v>
      </c>
    </row>
    <row r="260" spans="1:17" ht="69.599999999999994" thickBot="1" x14ac:dyDescent="0.35">
      <c r="A260" s="5" t="s">
        <v>234</v>
      </c>
      <c r="B260" s="5" t="s">
        <v>314</v>
      </c>
      <c r="C260" s="5" t="s">
        <v>20</v>
      </c>
      <c r="D260" s="6">
        <v>38517</v>
      </c>
      <c r="E260" s="5" t="s">
        <v>60</v>
      </c>
      <c r="F260" s="5">
        <v>0</v>
      </c>
      <c r="G260" s="5"/>
      <c r="H260" s="7">
        <v>-1</v>
      </c>
      <c r="I260" s="7">
        <v>3.3500000000000002E-2</v>
      </c>
      <c r="J260" s="7">
        <v>4.2200000000000001E-2</v>
      </c>
      <c r="K260" s="7">
        <v>-1.0800000000000001E-2</v>
      </c>
      <c r="L260" s="7">
        <v>-1.34E-2</v>
      </c>
      <c r="M260" s="8">
        <v>82552122.670000002</v>
      </c>
      <c r="N260" s="7">
        <v>1.2999999999999999E-3</v>
      </c>
      <c r="O260" s="5">
        <v>635</v>
      </c>
      <c r="P260" s="7">
        <v>8.0000000000000004E-4</v>
      </c>
      <c r="Q260" s="6">
        <v>46311</v>
      </c>
    </row>
    <row r="261" spans="1:17" ht="83.4" thickBot="1" x14ac:dyDescent="0.35">
      <c r="A261" s="9" t="s">
        <v>234</v>
      </c>
      <c r="B261" s="9" t="s">
        <v>315</v>
      </c>
      <c r="C261" s="9" t="s">
        <v>20</v>
      </c>
      <c r="D261" s="10">
        <v>38517</v>
      </c>
      <c r="E261" s="9" t="s">
        <v>60</v>
      </c>
      <c r="F261" s="9">
        <v>193.08585429999999</v>
      </c>
      <c r="G261" s="11">
        <v>4.5999999999999999E-3</v>
      </c>
      <c r="H261" s="9"/>
      <c r="I261" s="9"/>
      <c r="J261" s="9"/>
      <c r="K261" s="9"/>
      <c r="L261" s="9"/>
      <c r="M261" s="9"/>
      <c r="N261" s="9"/>
      <c r="O261" s="9">
        <v>5</v>
      </c>
      <c r="P261" s="11">
        <v>0</v>
      </c>
      <c r="Q261" s="10">
        <v>46311</v>
      </c>
    </row>
    <row r="262" spans="1:17" ht="83.4" thickBot="1" x14ac:dyDescent="0.35">
      <c r="A262" s="5" t="s">
        <v>234</v>
      </c>
      <c r="B262" s="5" t="s">
        <v>316</v>
      </c>
      <c r="C262" s="5" t="s">
        <v>20</v>
      </c>
      <c r="D262" s="6">
        <v>38517</v>
      </c>
      <c r="E262" s="5" t="s">
        <v>60</v>
      </c>
      <c r="F262" s="5">
        <v>104.03269280000001</v>
      </c>
      <c r="G262" s="7">
        <v>3.2000000000000002E-3</v>
      </c>
      <c r="H262" s="5"/>
      <c r="I262" s="5"/>
      <c r="J262" s="5"/>
      <c r="K262" s="5"/>
      <c r="L262" s="5"/>
      <c r="M262" s="5"/>
      <c r="N262" s="5"/>
      <c r="O262" s="5">
        <v>630</v>
      </c>
      <c r="P262" s="7">
        <v>8.0000000000000004E-4</v>
      </c>
      <c r="Q262" s="6">
        <v>46311</v>
      </c>
    </row>
    <row r="263" spans="1:17" ht="55.8" thickBot="1" x14ac:dyDescent="0.35">
      <c r="A263" s="9" t="s">
        <v>234</v>
      </c>
      <c r="B263" s="9" t="s">
        <v>317</v>
      </c>
      <c r="C263" s="9" t="s">
        <v>17</v>
      </c>
      <c r="D263" s="10">
        <v>44942</v>
      </c>
      <c r="E263" s="9" t="s">
        <v>60</v>
      </c>
      <c r="F263" s="9">
        <v>154.98579663000001</v>
      </c>
      <c r="G263" s="11">
        <v>2.24E-2</v>
      </c>
      <c r="H263" s="11">
        <v>0.12939999999999999</v>
      </c>
      <c r="I263" s="11">
        <v>0.23350000000000001</v>
      </c>
      <c r="J263" s="11">
        <v>8.1299999999999997E-2</v>
      </c>
      <c r="K263" s="9"/>
      <c r="L263" s="9"/>
      <c r="M263" s="12">
        <v>25370798.73</v>
      </c>
      <c r="N263" s="11">
        <v>4.0000000000000002E-4</v>
      </c>
      <c r="O263" s="9">
        <v>250</v>
      </c>
      <c r="P263" s="11">
        <v>2.9999999999999997E-4</v>
      </c>
      <c r="Q263" s="10">
        <v>46311</v>
      </c>
    </row>
    <row r="264" spans="1:17" ht="55.8" thickBot="1" x14ac:dyDescent="0.35">
      <c r="A264" s="5" t="s">
        <v>234</v>
      </c>
      <c r="B264" s="5" t="s">
        <v>318</v>
      </c>
      <c r="C264" s="5" t="s">
        <v>17</v>
      </c>
      <c r="D264" s="6">
        <v>44783</v>
      </c>
      <c r="E264" s="5" t="s">
        <v>60</v>
      </c>
      <c r="F264" s="5">
        <v>107.94903105</v>
      </c>
      <c r="G264" s="7">
        <v>0.10730000000000001</v>
      </c>
      <c r="H264" s="7">
        <v>7.0199999999999999E-2</v>
      </c>
      <c r="I264" s="7">
        <v>-6.7999999999999996E-3</v>
      </c>
      <c r="J264" s="7">
        <v>6.5299999999999997E-2</v>
      </c>
      <c r="K264" s="7">
        <v>-0.14050000000000001</v>
      </c>
      <c r="L264" s="5"/>
      <c r="M264" s="8">
        <v>27092441.84</v>
      </c>
      <c r="N264" s="7">
        <v>4.0000000000000002E-4</v>
      </c>
      <c r="O264" s="5">
        <v>240</v>
      </c>
      <c r="P264" s="7">
        <v>2.9999999999999997E-4</v>
      </c>
      <c r="Q264" s="6">
        <v>46311</v>
      </c>
    </row>
    <row r="265" spans="1:17" ht="42" thickBot="1" x14ac:dyDescent="0.35">
      <c r="A265" s="9" t="s">
        <v>234</v>
      </c>
      <c r="B265" s="9" t="s">
        <v>319</v>
      </c>
      <c r="C265" s="9" t="s">
        <v>17</v>
      </c>
      <c r="D265" s="10">
        <v>43229</v>
      </c>
      <c r="E265" s="9" t="s">
        <v>60</v>
      </c>
      <c r="F265" s="9">
        <v>123.74499436000001</v>
      </c>
      <c r="G265" s="11">
        <v>-2.0500000000000001E-2</v>
      </c>
      <c r="H265" s="11">
        <v>9.0399999999999994E-2</v>
      </c>
      <c r="I265" s="11">
        <v>4.2799999999999998E-2</v>
      </c>
      <c r="J265" s="11">
        <v>7.1499999999999994E-2</v>
      </c>
      <c r="K265" s="11">
        <v>-8.7300000000000003E-2</v>
      </c>
      <c r="L265" s="11">
        <v>7.1999999999999998E-3</v>
      </c>
      <c r="M265" s="12">
        <v>443932704.12</v>
      </c>
      <c r="N265" s="11">
        <v>6.7999999999999996E-3</v>
      </c>
      <c r="O265" s="12">
        <v>1196</v>
      </c>
      <c r="P265" s="11">
        <v>1.6000000000000001E-3</v>
      </c>
      <c r="Q265" s="10">
        <v>46311</v>
      </c>
    </row>
    <row r="266" spans="1:17" ht="55.8" thickBot="1" x14ac:dyDescent="0.35">
      <c r="A266" s="5" t="s">
        <v>234</v>
      </c>
      <c r="B266" s="5" t="s">
        <v>320</v>
      </c>
      <c r="C266" s="5" t="s">
        <v>17</v>
      </c>
      <c r="D266" s="6">
        <v>44384</v>
      </c>
      <c r="E266" s="5" t="s">
        <v>60</v>
      </c>
      <c r="F266" s="5">
        <v>112.5593131</v>
      </c>
      <c r="G266" s="7">
        <v>-9.4000000000000004E-3</v>
      </c>
      <c r="H266" s="7">
        <v>7.3099999999999998E-2</v>
      </c>
      <c r="I266" s="7">
        <v>5.8299999999999998E-2</v>
      </c>
      <c r="J266" s="7">
        <v>0.1227</v>
      </c>
      <c r="K266" s="7">
        <v>-0.11700000000000001</v>
      </c>
      <c r="L266" s="7">
        <v>7.4000000000000003E-3</v>
      </c>
      <c r="M266" s="8">
        <v>60536949.18</v>
      </c>
      <c r="N266" s="7">
        <v>8.9999999999999998E-4</v>
      </c>
      <c r="O266" s="5">
        <v>273</v>
      </c>
      <c r="P266" s="7">
        <v>4.0000000000000002E-4</v>
      </c>
      <c r="Q266" s="6">
        <v>46311</v>
      </c>
    </row>
    <row r="267" spans="1:17" ht="69.599999999999994" thickBot="1" x14ac:dyDescent="0.35">
      <c r="A267" s="9" t="s">
        <v>234</v>
      </c>
      <c r="B267" s="9" t="s">
        <v>321</v>
      </c>
      <c r="C267" s="9" t="s">
        <v>18</v>
      </c>
      <c r="D267" s="10">
        <v>44875</v>
      </c>
      <c r="E267" s="9" t="s">
        <v>60</v>
      </c>
      <c r="F267" s="9">
        <v>119.16036099999999</v>
      </c>
      <c r="G267" s="11">
        <v>-1.2E-2</v>
      </c>
      <c r="H267" s="11">
        <v>7.3599999999999999E-2</v>
      </c>
      <c r="I267" s="11">
        <v>3.7600000000000001E-2</v>
      </c>
      <c r="J267" s="11">
        <v>6.3500000000000001E-2</v>
      </c>
      <c r="K267" s="11">
        <v>1.24E-2</v>
      </c>
      <c r="L267" s="9"/>
      <c r="M267" s="12">
        <v>282478573.92000002</v>
      </c>
      <c r="N267" s="11">
        <v>4.3E-3</v>
      </c>
      <c r="O267" s="12">
        <v>1244</v>
      </c>
      <c r="P267" s="11">
        <v>1.6000000000000001E-3</v>
      </c>
      <c r="Q267" s="10">
        <v>46311</v>
      </c>
    </row>
    <row r="268" spans="1:17" ht="55.8" thickBot="1" x14ac:dyDescent="0.35">
      <c r="A268" s="5" t="s">
        <v>234</v>
      </c>
      <c r="B268" s="5" t="s">
        <v>322</v>
      </c>
      <c r="C268" s="5" t="s">
        <v>286</v>
      </c>
      <c r="D268" s="6">
        <v>44200</v>
      </c>
      <c r="E268" s="5" t="s">
        <v>60</v>
      </c>
      <c r="F268" s="5">
        <v>0</v>
      </c>
      <c r="G268" s="5"/>
      <c r="H268" s="5"/>
      <c r="I268" s="5"/>
      <c r="J268" s="5"/>
      <c r="K268" s="5"/>
      <c r="L268" s="5"/>
      <c r="M268" s="8">
        <v>84163554.120000005</v>
      </c>
      <c r="N268" s="7">
        <v>1.2999999999999999E-3</v>
      </c>
      <c r="O268" s="5">
        <v>235</v>
      </c>
      <c r="P268" s="7">
        <v>2.9999999999999997E-4</v>
      </c>
      <c r="Q268" s="6">
        <v>46311</v>
      </c>
    </row>
    <row r="269" spans="1:17" ht="55.8" thickBot="1" x14ac:dyDescent="0.35">
      <c r="A269" s="9" t="s">
        <v>234</v>
      </c>
      <c r="B269" s="9" t="s">
        <v>323</v>
      </c>
      <c r="C269" s="9" t="s">
        <v>286</v>
      </c>
      <c r="D269" s="10">
        <v>44200</v>
      </c>
      <c r="E269" s="9" t="s">
        <v>60</v>
      </c>
      <c r="F269" s="9">
        <v>106.99199962</v>
      </c>
      <c r="G269" s="11">
        <v>-4.3400000000000001E-2</v>
      </c>
      <c r="H269" s="11">
        <v>-1.7600000000000001E-2</v>
      </c>
      <c r="I269" s="11">
        <v>4.4299999999999999E-2</v>
      </c>
      <c r="J269" s="11">
        <v>2.3E-2</v>
      </c>
      <c r="K269" s="11">
        <v>2.1399999999999999E-2</v>
      </c>
      <c r="L269" s="11">
        <v>4.2700000000000002E-2</v>
      </c>
      <c r="M269" s="9"/>
      <c r="N269" s="9"/>
      <c r="O269" s="9">
        <v>186</v>
      </c>
      <c r="P269" s="11">
        <v>2.0000000000000001E-4</v>
      </c>
      <c r="Q269" s="10">
        <v>46311</v>
      </c>
    </row>
    <row r="270" spans="1:17" ht="55.8" thickBot="1" x14ac:dyDescent="0.35">
      <c r="A270" s="5" t="s">
        <v>234</v>
      </c>
      <c r="B270" s="5" t="s">
        <v>324</v>
      </c>
      <c r="C270" s="5" t="s">
        <v>286</v>
      </c>
      <c r="D270" s="6">
        <v>44200</v>
      </c>
      <c r="E270" s="5" t="s">
        <v>60</v>
      </c>
      <c r="F270" s="5">
        <v>107.01854487</v>
      </c>
      <c r="G270" s="7">
        <v>-4.3400000000000001E-2</v>
      </c>
      <c r="H270" s="7">
        <v>-1.7600000000000001E-2</v>
      </c>
      <c r="I270" s="7">
        <v>4.4299999999999999E-2</v>
      </c>
      <c r="J270" s="7">
        <v>2.3E-2</v>
      </c>
      <c r="K270" s="7">
        <v>2.1399999999999999E-2</v>
      </c>
      <c r="L270" s="7">
        <v>4.2700000000000002E-2</v>
      </c>
      <c r="M270" s="5"/>
      <c r="N270" s="5"/>
      <c r="O270" s="5">
        <v>54</v>
      </c>
      <c r="P270" s="7">
        <v>1E-4</v>
      </c>
      <c r="Q270" s="6">
        <v>46311</v>
      </c>
    </row>
    <row r="271" spans="1:17" ht="69.599999999999994" thickBot="1" x14ac:dyDescent="0.35">
      <c r="A271" s="9" t="s">
        <v>234</v>
      </c>
      <c r="B271" s="9" t="s">
        <v>325</v>
      </c>
      <c r="C271" s="9" t="s">
        <v>183</v>
      </c>
      <c r="D271" s="10">
        <v>44537</v>
      </c>
      <c r="E271" s="9" t="s">
        <v>60</v>
      </c>
      <c r="F271" s="9">
        <v>156.18161459999999</v>
      </c>
      <c r="G271" s="11">
        <v>0.11310000000000001</v>
      </c>
      <c r="H271" s="11">
        <v>0.15260000000000001</v>
      </c>
      <c r="I271" s="11">
        <v>0.18529999999999999</v>
      </c>
      <c r="J271" s="11">
        <v>0.15110000000000001</v>
      </c>
      <c r="K271" s="11">
        <v>-0.128</v>
      </c>
      <c r="L271" s="11">
        <v>1.83E-2</v>
      </c>
      <c r="M271" s="12">
        <v>288151913.81</v>
      </c>
      <c r="N271" s="11">
        <v>4.4000000000000003E-3</v>
      </c>
      <c r="O271" s="12">
        <v>8615</v>
      </c>
      <c r="P271" s="11">
        <v>1.14E-2</v>
      </c>
      <c r="Q271" s="10">
        <v>46311</v>
      </c>
    </row>
    <row r="272" spans="1:17" ht="55.8" thickBot="1" x14ac:dyDescent="0.35">
      <c r="A272" s="5" t="s">
        <v>234</v>
      </c>
      <c r="B272" s="5" t="s">
        <v>326</v>
      </c>
      <c r="C272" s="5" t="s">
        <v>183</v>
      </c>
      <c r="D272" s="6">
        <v>45454</v>
      </c>
      <c r="E272" s="5" t="s">
        <v>60</v>
      </c>
      <c r="F272" s="5">
        <v>0</v>
      </c>
      <c r="G272" s="5"/>
      <c r="H272" s="5"/>
      <c r="I272" s="5"/>
      <c r="J272" s="5"/>
      <c r="K272" s="5"/>
      <c r="L272" s="5"/>
      <c r="M272" s="8">
        <v>25087212.329999998</v>
      </c>
      <c r="N272" s="7">
        <v>4.0000000000000002E-4</v>
      </c>
      <c r="O272" s="5">
        <v>728</v>
      </c>
      <c r="P272" s="7">
        <v>1E-3</v>
      </c>
      <c r="Q272" s="6">
        <v>46311</v>
      </c>
    </row>
    <row r="273" spans="1:17" ht="69.599999999999994" thickBot="1" x14ac:dyDescent="0.35">
      <c r="A273" s="9" t="s">
        <v>234</v>
      </c>
      <c r="B273" s="9" t="s">
        <v>327</v>
      </c>
      <c r="C273" s="9" t="s">
        <v>183</v>
      </c>
      <c r="D273" s="10">
        <v>45454</v>
      </c>
      <c r="E273" s="9" t="s">
        <v>60</v>
      </c>
      <c r="F273" s="9">
        <v>107.57656513000001</v>
      </c>
      <c r="G273" s="11">
        <v>-2.3099999999999999E-2</v>
      </c>
      <c r="H273" s="11">
        <v>7.0599999999999996E-2</v>
      </c>
      <c r="I273" s="11">
        <v>2.76E-2</v>
      </c>
      <c r="J273" s="9"/>
      <c r="K273" s="9"/>
      <c r="L273" s="9"/>
      <c r="M273" s="9"/>
      <c r="N273" s="9"/>
      <c r="O273" s="9">
        <v>718</v>
      </c>
      <c r="P273" s="11">
        <v>8.9999999999999998E-4</v>
      </c>
      <c r="Q273" s="10">
        <v>46311</v>
      </c>
    </row>
    <row r="274" spans="1:17" ht="69.599999999999994" thickBot="1" x14ac:dyDescent="0.35">
      <c r="A274" s="5" t="s">
        <v>234</v>
      </c>
      <c r="B274" s="5" t="s">
        <v>328</v>
      </c>
      <c r="C274" s="5" t="s">
        <v>183</v>
      </c>
      <c r="D274" s="6">
        <v>45454</v>
      </c>
      <c r="E274" s="5" t="s">
        <v>60</v>
      </c>
      <c r="F274" s="5">
        <v>107.57870878999999</v>
      </c>
      <c r="G274" s="7">
        <v>-2.3099999999999999E-2</v>
      </c>
      <c r="H274" s="7">
        <v>7.0599999999999996E-2</v>
      </c>
      <c r="I274" s="7">
        <v>2.76E-2</v>
      </c>
      <c r="J274" s="5"/>
      <c r="K274" s="5"/>
      <c r="L274" s="5"/>
      <c r="M274" s="5"/>
      <c r="N274" s="5"/>
      <c r="O274" s="5">
        <v>10</v>
      </c>
      <c r="P274" s="7">
        <v>0</v>
      </c>
      <c r="Q274" s="6">
        <v>46311</v>
      </c>
    </row>
    <row r="275" spans="1:17" ht="83.4" thickBot="1" x14ac:dyDescent="0.35">
      <c r="A275" s="9" t="s">
        <v>234</v>
      </c>
      <c r="B275" s="9" t="s">
        <v>329</v>
      </c>
      <c r="C275" s="9" t="s">
        <v>18</v>
      </c>
      <c r="D275" s="10">
        <v>41128</v>
      </c>
      <c r="E275" s="9" t="s">
        <v>60</v>
      </c>
      <c r="F275" s="9">
        <v>150.46677500000001</v>
      </c>
      <c r="G275" s="11">
        <v>3.8E-3</v>
      </c>
      <c r="H275" s="11">
        <v>8.6400000000000005E-2</v>
      </c>
      <c r="I275" s="11">
        <v>8.8800000000000004E-2</v>
      </c>
      <c r="J275" s="11">
        <v>5.9400000000000001E-2</v>
      </c>
      <c r="K275" s="11">
        <v>-9.2799999999999994E-2</v>
      </c>
      <c r="L275" s="11">
        <v>-1.2999999999999999E-3</v>
      </c>
      <c r="M275" s="12">
        <v>208345761.22999999</v>
      </c>
      <c r="N275" s="11">
        <v>3.2000000000000002E-3</v>
      </c>
      <c r="O275" s="12">
        <v>1343</v>
      </c>
      <c r="P275" s="11">
        <v>1.8E-3</v>
      </c>
      <c r="Q275" s="10">
        <v>46311</v>
      </c>
    </row>
    <row r="276" spans="1:17" ht="69.599999999999994" thickBot="1" x14ac:dyDescent="0.35">
      <c r="A276" s="5" t="s">
        <v>234</v>
      </c>
      <c r="B276" s="5" t="s">
        <v>330</v>
      </c>
      <c r="C276" s="5" t="s">
        <v>18</v>
      </c>
      <c r="D276" s="6">
        <v>43083</v>
      </c>
      <c r="E276" s="5" t="s">
        <v>60</v>
      </c>
      <c r="F276" s="5">
        <v>198.54625999999999</v>
      </c>
      <c r="G276" s="7">
        <v>5.3800000000000001E-2</v>
      </c>
      <c r="H276" s="7">
        <v>0.1236</v>
      </c>
      <c r="I276" s="7">
        <v>7.6399999999999996E-2</v>
      </c>
      <c r="J276" s="7">
        <v>0.14399999999999999</v>
      </c>
      <c r="K276" s="7">
        <v>-0.17169999999999999</v>
      </c>
      <c r="L276" s="7">
        <v>0.19289999999999999</v>
      </c>
      <c r="M276" s="8">
        <v>169859935.53</v>
      </c>
      <c r="N276" s="7">
        <v>2.5999999999999999E-3</v>
      </c>
      <c r="O276" s="8">
        <v>1394</v>
      </c>
      <c r="P276" s="7">
        <v>1.8E-3</v>
      </c>
      <c r="Q276" s="6">
        <v>46311</v>
      </c>
    </row>
    <row r="277" spans="1:17" ht="69.599999999999994" thickBot="1" x14ac:dyDescent="0.35">
      <c r="A277" s="9" t="s">
        <v>234</v>
      </c>
      <c r="B277" s="9" t="s">
        <v>331</v>
      </c>
      <c r="C277" s="9" t="s">
        <v>80</v>
      </c>
      <c r="D277" s="10">
        <v>45842</v>
      </c>
      <c r="E277" s="9" t="s">
        <v>60</v>
      </c>
      <c r="F277" s="9">
        <v>0</v>
      </c>
      <c r="G277" s="9"/>
      <c r="H277" s="9"/>
      <c r="I277" s="9"/>
      <c r="J277" s="9"/>
      <c r="K277" s="9"/>
      <c r="L277" s="9"/>
      <c r="M277" s="12">
        <v>77755283.329999998</v>
      </c>
      <c r="N277" s="11">
        <v>1.1999999999999999E-3</v>
      </c>
      <c r="O277" s="9">
        <v>361</v>
      </c>
      <c r="P277" s="11">
        <v>5.0000000000000001E-4</v>
      </c>
      <c r="Q277" s="10">
        <v>46311</v>
      </c>
    </row>
    <row r="278" spans="1:17" ht="83.4" thickBot="1" x14ac:dyDescent="0.35">
      <c r="A278" s="5" t="s">
        <v>234</v>
      </c>
      <c r="B278" s="5" t="s">
        <v>332</v>
      </c>
      <c r="C278" s="5" t="s">
        <v>80</v>
      </c>
      <c r="D278" s="6">
        <v>45842</v>
      </c>
      <c r="E278" s="5" t="s">
        <v>60</v>
      </c>
      <c r="F278" s="5">
        <v>10.260236389999999</v>
      </c>
      <c r="G278" s="7">
        <v>-2.1499999999999998E-2</v>
      </c>
      <c r="H278" s="7">
        <v>4.6600000000000003E-2</v>
      </c>
      <c r="I278" s="5"/>
      <c r="J278" s="5"/>
      <c r="K278" s="5"/>
      <c r="L278" s="5"/>
      <c r="M278" s="5"/>
      <c r="N278" s="5"/>
      <c r="O278" s="5">
        <v>282</v>
      </c>
      <c r="P278" s="7">
        <v>4.0000000000000002E-4</v>
      </c>
      <c r="Q278" s="6">
        <v>46311</v>
      </c>
    </row>
    <row r="279" spans="1:17" ht="83.4" thickBot="1" x14ac:dyDescent="0.35">
      <c r="A279" s="9" t="s">
        <v>234</v>
      </c>
      <c r="B279" s="9" t="s">
        <v>333</v>
      </c>
      <c r="C279" s="9" t="s">
        <v>80</v>
      </c>
      <c r="D279" s="10">
        <v>45842</v>
      </c>
      <c r="E279" s="9" t="s">
        <v>60</v>
      </c>
      <c r="F279" s="9">
        <v>10.29189614</v>
      </c>
      <c r="G279" s="11">
        <v>-1.9699999999999999E-2</v>
      </c>
      <c r="H279" s="11">
        <v>4.7899999999999998E-2</v>
      </c>
      <c r="I279" s="9"/>
      <c r="J279" s="9"/>
      <c r="K279" s="9"/>
      <c r="L279" s="9"/>
      <c r="M279" s="9"/>
      <c r="N279" s="9"/>
      <c r="O279" s="9">
        <v>79</v>
      </c>
      <c r="P279" s="11">
        <v>1E-4</v>
      </c>
      <c r="Q279" s="10">
        <v>46311</v>
      </c>
    </row>
    <row r="280" spans="1:17" ht="55.8" thickBot="1" x14ac:dyDescent="0.35">
      <c r="A280" s="5" t="s">
        <v>234</v>
      </c>
      <c r="B280" s="5" t="s">
        <v>334</v>
      </c>
      <c r="C280" s="5" t="s">
        <v>80</v>
      </c>
      <c r="D280" s="6">
        <v>45103</v>
      </c>
      <c r="E280" s="5" t="s">
        <v>60</v>
      </c>
      <c r="F280" s="5">
        <v>0</v>
      </c>
      <c r="G280" s="5"/>
      <c r="H280" s="5"/>
      <c r="I280" s="5"/>
      <c r="J280" s="5"/>
      <c r="K280" s="5"/>
      <c r="L280" s="5"/>
      <c r="M280" s="8">
        <v>174956393.5</v>
      </c>
      <c r="N280" s="7">
        <v>2.7000000000000001E-3</v>
      </c>
      <c r="O280" s="8">
        <v>1077</v>
      </c>
      <c r="P280" s="7">
        <v>1.4E-3</v>
      </c>
      <c r="Q280" s="6">
        <v>46311</v>
      </c>
    </row>
    <row r="281" spans="1:17" ht="69.599999999999994" thickBot="1" x14ac:dyDescent="0.35">
      <c r="A281" s="9" t="s">
        <v>234</v>
      </c>
      <c r="B281" s="9" t="s">
        <v>335</v>
      </c>
      <c r="C281" s="9" t="s">
        <v>80</v>
      </c>
      <c r="D281" s="10">
        <v>45103</v>
      </c>
      <c r="E281" s="9" t="s">
        <v>60</v>
      </c>
      <c r="F281" s="9">
        <v>15.995980729999999</v>
      </c>
      <c r="G281" s="11">
        <v>5.3999999999999999E-2</v>
      </c>
      <c r="H281" s="11">
        <v>0.2089</v>
      </c>
      <c r="I281" s="11">
        <v>0.1545</v>
      </c>
      <c r="J281" s="11">
        <v>7.9699999999999993E-2</v>
      </c>
      <c r="K281" s="9"/>
      <c r="L281" s="9"/>
      <c r="M281" s="9"/>
      <c r="N281" s="9"/>
      <c r="O281" s="12">
        <v>1073</v>
      </c>
      <c r="P281" s="11">
        <v>1.4E-3</v>
      </c>
      <c r="Q281" s="10">
        <v>46311</v>
      </c>
    </row>
    <row r="282" spans="1:17" ht="69.599999999999994" thickBot="1" x14ac:dyDescent="0.35">
      <c r="A282" s="5" t="s">
        <v>234</v>
      </c>
      <c r="B282" s="5" t="s">
        <v>336</v>
      </c>
      <c r="C282" s="5" t="s">
        <v>80</v>
      </c>
      <c r="D282" s="6">
        <v>45103</v>
      </c>
      <c r="E282" s="5" t="s">
        <v>60</v>
      </c>
      <c r="F282" s="5">
        <v>16.496426750000001</v>
      </c>
      <c r="G282" s="7">
        <v>6.13E-2</v>
      </c>
      <c r="H282" s="7">
        <v>0.2167</v>
      </c>
      <c r="I282" s="7">
        <v>0.16589999999999999</v>
      </c>
      <c r="J282" s="7">
        <v>8.77E-2</v>
      </c>
      <c r="K282" s="5"/>
      <c r="L282" s="5"/>
      <c r="M282" s="5"/>
      <c r="N282" s="5"/>
      <c r="O282" s="5">
        <v>4</v>
      </c>
      <c r="P282" s="7">
        <v>0</v>
      </c>
      <c r="Q282" s="6">
        <v>46311</v>
      </c>
    </row>
    <row r="283" spans="1:17" ht="69.599999999999994" thickBot="1" x14ac:dyDescent="0.35">
      <c r="A283" s="9" t="s">
        <v>234</v>
      </c>
      <c r="B283" s="9" t="s">
        <v>337</v>
      </c>
      <c r="C283" s="9" t="s">
        <v>19</v>
      </c>
      <c r="D283" s="10">
        <v>45133</v>
      </c>
      <c r="E283" s="9" t="s">
        <v>60</v>
      </c>
      <c r="F283" s="9">
        <v>1188.8348142899999</v>
      </c>
      <c r="G283" s="11">
        <v>-1.9300000000000001E-2</v>
      </c>
      <c r="H283" s="11">
        <v>9.2299999999999993E-2</v>
      </c>
      <c r="I283" s="11">
        <v>4.8899999999999999E-2</v>
      </c>
      <c r="J283" s="11">
        <v>4.7300000000000002E-2</v>
      </c>
      <c r="K283" s="9"/>
      <c r="L283" s="9"/>
      <c r="M283" s="12">
        <v>241531384.84999999</v>
      </c>
      <c r="N283" s="11">
        <v>3.7000000000000002E-3</v>
      </c>
      <c r="O283" s="9">
        <v>31</v>
      </c>
      <c r="P283" s="11">
        <v>0</v>
      </c>
      <c r="Q283" s="10">
        <v>46311</v>
      </c>
    </row>
    <row r="284" spans="1:17" ht="69.599999999999994" thickBot="1" x14ac:dyDescent="0.35">
      <c r="A284" s="5" t="s">
        <v>234</v>
      </c>
      <c r="B284" s="5" t="s">
        <v>338</v>
      </c>
      <c r="C284" s="5" t="s">
        <v>19</v>
      </c>
      <c r="D284" s="6">
        <v>43179</v>
      </c>
      <c r="E284" s="5" t="s">
        <v>60</v>
      </c>
      <c r="F284" s="5">
        <v>14.07149119</v>
      </c>
      <c r="G284" s="7">
        <v>3.3500000000000002E-2</v>
      </c>
      <c r="H284" s="7">
        <v>0.23649999999999999</v>
      </c>
      <c r="I284" s="7">
        <v>1.37E-2</v>
      </c>
      <c r="J284" s="7">
        <v>0.23380000000000001</v>
      </c>
      <c r="K284" s="7">
        <v>-0.26740000000000003</v>
      </c>
      <c r="L284" s="7">
        <v>8.2900000000000001E-2</v>
      </c>
      <c r="M284" s="8">
        <v>30934647.469999999</v>
      </c>
      <c r="N284" s="7">
        <v>5.0000000000000001E-4</v>
      </c>
      <c r="O284" s="5">
        <v>462</v>
      </c>
      <c r="P284" s="7">
        <v>5.9999999999999995E-4</v>
      </c>
      <c r="Q284" s="6">
        <v>46311</v>
      </c>
    </row>
    <row r="285" spans="1:17" ht="69.599999999999994" thickBot="1" x14ac:dyDescent="0.35">
      <c r="A285" s="9" t="s">
        <v>234</v>
      </c>
      <c r="B285" s="9" t="s">
        <v>339</v>
      </c>
      <c r="C285" s="9" t="s">
        <v>19</v>
      </c>
      <c r="D285" s="10">
        <v>41809</v>
      </c>
      <c r="E285" s="9" t="s">
        <v>60</v>
      </c>
      <c r="F285" s="9">
        <v>29.633371879999999</v>
      </c>
      <c r="G285" s="11">
        <v>3.2800000000000003E-2</v>
      </c>
      <c r="H285" s="11">
        <v>0.10920000000000001</v>
      </c>
      <c r="I285" s="11">
        <v>0.2261</v>
      </c>
      <c r="J285" s="11">
        <v>0.30520000000000003</v>
      </c>
      <c r="K285" s="11">
        <v>-0.28520000000000001</v>
      </c>
      <c r="L285" s="11">
        <v>0.26950000000000002</v>
      </c>
      <c r="M285" s="12">
        <v>173884930.77000001</v>
      </c>
      <c r="N285" s="11">
        <v>2.5999999999999999E-3</v>
      </c>
      <c r="O285" s="12">
        <v>1187</v>
      </c>
      <c r="P285" s="11">
        <v>1.6000000000000001E-3</v>
      </c>
      <c r="Q285" s="10">
        <v>46311</v>
      </c>
    </row>
    <row r="286" spans="1:17" ht="69.599999999999994" thickBot="1" x14ac:dyDescent="0.35">
      <c r="A286" s="5" t="s">
        <v>234</v>
      </c>
      <c r="B286" s="5" t="s">
        <v>340</v>
      </c>
      <c r="C286" s="5" t="s">
        <v>19</v>
      </c>
      <c r="D286" s="6">
        <v>43187</v>
      </c>
      <c r="E286" s="5" t="s">
        <v>60</v>
      </c>
      <c r="F286" s="5">
        <v>11.978260799999999</v>
      </c>
      <c r="G286" s="7">
        <v>6.0000000000000001E-3</v>
      </c>
      <c r="H286" s="7">
        <v>5.7099999999999998E-2</v>
      </c>
      <c r="I286" s="7">
        <v>4.4900000000000002E-2</v>
      </c>
      <c r="J286" s="7">
        <v>9.9900000000000003E-2</v>
      </c>
      <c r="K286" s="7">
        <v>-0.12859999999999999</v>
      </c>
      <c r="L286" s="7">
        <v>1.72E-2</v>
      </c>
      <c r="M286" s="8">
        <v>108882514.13</v>
      </c>
      <c r="N286" s="7">
        <v>1.6999999999999999E-3</v>
      </c>
      <c r="O286" s="5">
        <v>475</v>
      </c>
      <c r="P286" s="7">
        <v>5.9999999999999995E-4</v>
      </c>
      <c r="Q286" s="6">
        <v>46311</v>
      </c>
    </row>
    <row r="287" spans="1:17" ht="55.8" thickBot="1" x14ac:dyDescent="0.35">
      <c r="A287" s="9" t="s">
        <v>234</v>
      </c>
      <c r="B287" s="9" t="s">
        <v>341</v>
      </c>
      <c r="C287" s="9" t="s">
        <v>19</v>
      </c>
      <c r="D287" s="10">
        <v>43224</v>
      </c>
      <c r="E287" s="9" t="s">
        <v>60</v>
      </c>
      <c r="F287" s="9">
        <v>10.97621708</v>
      </c>
      <c r="G287" s="11">
        <v>-2.3099999999999999E-2</v>
      </c>
      <c r="H287" s="11">
        <v>8.4699999999999998E-2</v>
      </c>
      <c r="I287" s="11">
        <v>3.9600000000000003E-2</v>
      </c>
      <c r="J287" s="11">
        <v>5.7200000000000001E-2</v>
      </c>
      <c r="K287" s="11">
        <v>-0.1308</v>
      </c>
      <c r="L287" s="11">
        <v>-3.6999999999999998E-2</v>
      </c>
      <c r="M287" s="12">
        <v>159710228.41999999</v>
      </c>
      <c r="N287" s="11">
        <v>2.3999999999999998E-3</v>
      </c>
      <c r="O287" s="9">
        <v>723</v>
      </c>
      <c r="P287" s="11">
        <v>1E-3</v>
      </c>
      <c r="Q287" s="10">
        <v>46311</v>
      </c>
    </row>
    <row r="288" spans="1:17" ht="69.599999999999994" thickBot="1" x14ac:dyDescent="0.35">
      <c r="A288" s="5" t="s">
        <v>234</v>
      </c>
      <c r="B288" s="5" t="s">
        <v>342</v>
      </c>
      <c r="C288" s="5" t="s">
        <v>19</v>
      </c>
      <c r="D288" s="6">
        <v>41870</v>
      </c>
      <c r="E288" s="5" t="s">
        <v>60</v>
      </c>
      <c r="F288" s="5">
        <v>6.1947155</v>
      </c>
      <c r="G288" s="7">
        <v>0.16289999999999999</v>
      </c>
      <c r="H288" s="7">
        <v>0.31219999999999998</v>
      </c>
      <c r="I288" s="7">
        <v>-1.2800000000000001E-2</v>
      </c>
      <c r="J288" s="7">
        <v>6.2899999999999998E-2</v>
      </c>
      <c r="K288" s="7">
        <v>-0.33069999999999999</v>
      </c>
      <c r="L288" s="7">
        <v>-9.7000000000000003E-3</v>
      </c>
      <c r="M288" s="8">
        <v>40628752.840000004</v>
      </c>
      <c r="N288" s="7">
        <v>5.9999999999999995E-4</v>
      </c>
      <c r="O288" s="5">
        <v>898</v>
      </c>
      <c r="P288" s="7">
        <v>1.1999999999999999E-3</v>
      </c>
      <c r="Q288" s="6">
        <v>46311</v>
      </c>
    </row>
    <row r="289" spans="1:17" ht="42" thickBot="1" x14ac:dyDescent="0.35">
      <c r="A289" s="9" t="s">
        <v>234</v>
      </c>
      <c r="B289" s="9" t="s">
        <v>343</v>
      </c>
      <c r="C289" s="9" t="s">
        <v>19</v>
      </c>
      <c r="D289" s="10">
        <v>46190</v>
      </c>
      <c r="E289" s="9" t="s">
        <v>60</v>
      </c>
      <c r="F289" s="9">
        <v>10.41876523</v>
      </c>
      <c r="G289" s="11">
        <v>7.4999999999999997E-3</v>
      </c>
      <c r="H289" s="9"/>
      <c r="I289" s="9"/>
      <c r="J289" s="9"/>
      <c r="K289" s="9"/>
      <c r="L289" s="9"/>
      <c r="M289" s="12">
        <v>9527662.4700000007</v>
      </c>
      <c r="N289" s="11">
        <v>1E-4</v>
      </c>
      <c r="O289" s="9">
        <v>69</v>
      </c>
      <c r="P289" s="11">
        <v>1E-4</v>
      </c>
      <c r="Q289" s="10">
        <v>46311</v>
      </c>
    </row>
    <row r="290" spans="1:17" ht="55.8" thickBot="1" x14ac:dyDescent="0.35">
      <c r="A290" s="5" t="s">
        <v>234</v>
      </c>
      <c r="B290" s="5" t="s">
        <v>344</v>
      </c>
      <c r="C290" s="5" t="s">
        <v>19</v>
      </c>
      <c r="D290" s="6">
        <v>44174</v>
      </c>
      <c r="E290" s="5" t="s">
        <v>60</v>
      </c>
      <c r="F290" s="5">
        <v>791.66114717999994</v>
      </c>
      <c r="G290" s="7">
        <v>-1.8800000000000001E-2</v>
      </c>
      <c r="H290" s="7">
        <v>8.8999999999999999E-3</v>
      </c>
      <c r="I290" s="7">
        <v>-2.0999999999999999E-3</v>
      </c>
      <c r="J290" s="7">
        <v>3.4299999999999997E-2</v>
      </c>
      <c r="K290" s="7">
        <v>-0.187</v>
      </c>
      <c r="L290" s="7">
        <v>-5.3800000000000001E-2</v>
      </c>
      <c r="M290" s="8">
        <v>26067934.59</v>
      </c>
      <c r="N290" s="7">
        <v>4.0000000000000002E-4</v>
      </c>
      <c r="O290" s="5">
        <v>74</v>
      </c>
      <c r="P290" s="7">
        <v>1E-4</v>
      </c>
      <c r="Q290" s="6">
        <v>46311</v>
      </c>
    </row>
    <row r="291" spans="1:17" ht="55.8" thickBot="1" x14ac:dyDescent="0.35">
      <c r="A291" s="9" t="s">
        <v>234</v>
      </c>
      <c r="B291" s="9" t="s">
        <v>345</v>
      </c>
      <c r="C291" s="9" t="s">
        <v>19</v>
      </c>
      <c r="D291" s="10">
        <v>43901</v>
      </c>
      <c r="E291" s="9" t="s">
        <v>60</v>
      </c>
      <c r="F291" s="9">
        <v>932.24722269999995</v>
      </c>
      <c r="G291" s="11">
        <v>-5.9400000000000001E-2</v>
      </c>
      <c r="H291" s="11">
        <v>4.8599999999999997E-2</v>
      </c>
      <c r="I291" s="11">
        <v>3.7000000000000002E-3</v>
      </c>
      <c r="J291" s="11">
        <v>3.15E-2</v>
      </c>
      <c r="K291" s="11">
        <v>-0.1167</v>
      </c>
      <c r="L291" s="11">
        <v>-2.3300000000000001E-2</v>
      </c>
      <c r="M291" s="12">
        <v>85906436.659999996</v>
      </c>
      <c r="N291" s="11">
        <v>1.2999999999999999E-3</v>
      </c>
      <c r="O291" s="9">
        <v>147</v>
      </c>
      <c r="P291" s="11">
        <v>2.0000000000000001E-4</v>
      </c>
      <c r="Q291" s="10">
        <v>46311</v>
      </c>
    </row>
    <row r="292" spans="1:17" ht="69.599999999999994" thickBot="1" x14ac:dyDescent="0.35">
      <c r="A292" s="5" t="s">
        <v>234</v>
      </c>
      <c r="B292" s="5" t="s">
        <v>346</v>
      </c>
      <c r="C292" s="5" t="s">
        <v>20</v>
      </c>
      <c r="D292" s="6">
        <v>41691</v>
      </c>
      <c r="E292" s="5" t="s">
        <v>60</v>
      </c>
      <c r="F292" s="5">
        <v>36.207568000000002</v>
      </c>
      <c r="G292" s="7">
        <v>0.1061</v>
      </c>
      <c r="H292" s="7">
        <v>0.15479999999999999</v>
      </c>
      <c r="I292" s="7">
        <v>0.221</v>
      </c>
      <c r="J292" s="7">
        <v>0.2341</v>
      </c>
      <c r="K292" s="7">
        <v>-0.19089999999999999</v>
      </c>
      <c r="L292" s="7">
        <v>0.19289999999999999</v>
      </c>
      <c r="M292" s="8">
        <v>141345740.66</v>
      </c>
      <c r="N292" s="7">
        <v>2.2000000000000001E-3</v>
      </c>
      <c r="O292" s="5">
        <v>975</v>
      </c>
      <c r="P292" s="7">
        <v>1.2999999999999999E-3</v>
      </c>
      <c r="Q292" s="6">
        <v>46311</v>
      </c>
    </row>
    <row r="293" spans="1:17" ht="69.599999999999994" thickBot="1" x14ac:dyDescent="0.35">
      <c r="A293" s="9" t="s">
        <v>234</v>
      </c>
      <c r="B293" s="9" t="s">
        <v>347</v>
      </c>
      <c r="C293" s="9" t="s">
        <v>20</v>
      </c>
      <c r="D293" s="10">
        <v>43305</v>
      </c>
      <c r="E293" s="9" t="s">
        <v>60</v>
      </c>
      <c r="F293" s="9">
        <v>20.1297377</v>
      </c>
      <c r="G293" s="11">
        <v>8.8599999999999998E-2</v>
      </c>
      <c r="H293" s="11">
        <v>0.1958</v>
      </c>
      <c r="I293" s="11">
        <v>0.1399</v>
      </c>
      <c r="J293" s="11">
        <v>0.1976</v>
      </c>
      <c r="K293" s="11">
        <v>-0.20979999999999999</v>
      </c>
      <c r="L293" s="11">
        <v>0.13769999999999999</v>
      </c>
      <c r="M293" s="12">
        <v>56546079.57</v>
      </c>
      <c r="N293" s="11">
        <v>8.9999999999999998E-4</v>
      </c>
      <c r="O293" s="9">
        <v>514</v>
      </c>
      <c r="P293" s="11">
        <v>6.9999999999999999E-4</v>
      </c>
      <c r="Q293" s="10">
        <v>46311</v>
      </c>
    </row>
    <row r="294" spans="1:17" ht="55.8" thickBot="1" x14ac:dyDescent="0.35">
      <c r="A294" s="5" t="s">
        <v>234</v>
      </c>
      <c r="B294" s="5" t="s">
        <v>348</v>
      </c>
      <c r="C294" s="5" t="s">
        <v>20</v>
      </c>
      <c r="D294" s="6">
        <v>43004</v>
      </c>
      <c r="E294" s="5" t="s">
        <v>60</v>
      </c>
      <c r="F294" s="5">
        <v>0</v>
      </c>
      <c r="G294" s="5"/>
      <c r="H294" s="5"/>
      <c r="I294" s="5"/>
      <c r="J294" s="5"/>
      <c r="K294" s="5"/>
      <c r="L294" s="5"/>
      <c r="M294" s="8">
        <v>47396829.189999998</v>
      </c>
      <c r="N294" s="7">
        <v>6.9999999999999999E-4</v>
      </c>
      <c r="O294" s="5">
        <v>261</v>
      </c>
      <c r="P294" s="7">
        <v>2.9999999999999997E-4</v>
      </c>
      <c r="Q294" s="6">
        <v>46311</v>
      </c>
    </row>
    <row r="295" spans="1:17" ht="69.599999999999994" thickBot="1" x14ac:dyDescent="0.35">
      <c r="A295" s="9" t="s">
        <v>234</v>
      </c>
      <c r="B295" s="9" t="s">
        <v>349</v>
      </c>
      <c r="C295" s="9" t="s">
        <v>20</v>
      </c>
      <c r="D295" s="10">
        <v>43004</v>
      </c>
      <c r="E295" s="9" t="s">
        <v>60</v>
      </c>
      <c r="F295" s="9">
        <v>111.96738120000001</v>
      </c>
      <c r="G295" s="11">
        <v>-1.03E-2</v>
      </c>
      <c r="H295" s="11">
        <v>6.4500000000000002E-2</v>
      </c>
      <c r="I295" s="11">
        <v>3.2500000000000001E-2</v>
      </c>
      <c r="J295" s="11">
        <v>5.8299999999999998E-2</v>
      </c>
      <c r="K295" s="11">
        <v>-7.8200000000000006E-2</v>
      </c>
      <c r="L295" s="11">
        <v>-1.17E-2</v>
      </c>
      <c r="M295" s="9"/>
      <c r="N295" s="9"/>
      <c r="O295" s="9">
        <v>206</v>
      </c>
      <c r="P295" s="11">
        <v>2.9999999999999997E-4</v>
      </c>
      <c r="Q295" s="10">
        <v>46311</v>
      </c>
    </row>
    <row r="296" spans="1:17" ht="69.599999999999994" thickBot="1" x14ac:dyDescent="0.35">
      <c r="A296" s="5" t="s">
        <v>234</v>
      </c>
      <c r="B296" s="5" t="s">
        <v>350</v>
      </c>
      <c r="C296" s="5" t="s">
        <v>20</v>
      </c>
      <c r="D296" s="6">
        <v>43004</v>
      </c>
      <c r="E296" s="5" t="s">
        <v>60</v>
      </c>
      <c r="F296" s="5">
        <v>84.168221000000003</v>
      </c>
      <c r="G296" s="7">
        <v>-3.9100000000000003E-2</v>
      </c>
      <c r="H296" s="7">
        <v>2.7699999999999999E-2</v>
      </c>
      <c r="I296" s="7">
        <v>-1.9E-3</v>
      </c>
      <c r="J296" s="7">
        <v>1.89E-2</v>
      </c>
      <c r="K296" s="7">
        <v>-0.1094</v>
      </c>
      <c r="L296" s="7">
        <v>-4.3299999999999998E-2</v>
      </c>
      <c r="M296" s="5"/>
      <c r="N296" s="5"/>
      <c r="O296" s="5">
        <v>57</v>
      </c>
      <c r="P296" s="7">
        <v>1E-4</v>
      </c>
      <c r="Q296" s="6">
        <v>46311</v>
      </c>
    </row>
    <row r="297" spans="1:17" ht="69.599999999999994" thickBot="1" x14ac:dyDescent="0.35">
      <c r="A297" s="9" t="s">
        <v>234</v>
      </c>
      <c r="B297" s="9" t="s">
        <v>351</v>
      </c>
      <c r="C297" s="9" t="s">
        <v>20</v>
      </c>
      <c r="D297" s="10">
        <v>41549</v>
      </c>
      <c r="E297" s="9" t="s">
        <v>68</v>
      </c>
      <c r="F297" s="9">
        <v>0</v>
      </c>
      <c r="G297" s="9"/>
      <c r="H297" s="9"/>
      <c r="I297" s="9"/>
      <c r="J297" s="9"/>
      <c r="K297" s="9"/>
      <c r="L297" s="9"/>
      <c r="M297" s="12">
        <v>20174639.870000001</v>
      </c>
      <c r="N297" s="11">
        <v>2.9999999999999997E-4</v>
      </c>
      <c r="O297" s="9">
        <v>292</v>
      </c>
      <c r="P297" s="11">
        <v>4.0000000000000002E-4</v>
      </c>
      <c r="Q297" s="10">
        <v>46311</v>
      </c>
    </row>
    <row r="298" spans="1:17" ht="83.4" thickBot="1" x14ac:dyDescent="0.35">
      <c r="A298" s="5" t="s">
        <v>234</v>
      </c>
      <c r="B298" s="5" t="s">
        <v>352</v>
      </c>
      <c r="C298" s="5" t="s">
        <v>20</v>
      </c>
      <c r="D298" s="6">
        <v>41549</v>
      </c>
      <c r="E298" s="5" t="s">
        <v>68</v>
      </c>
      <c r="F298" s="5">
        <v>158.44619209999999</v>
      </c>
      <c r="G298" s="7">
        <v>4.9299999999999997E-2</v>
      </c>
      <c r="H298" s="7">
        <v>6.3700000000000007E-2</v>
      </c>
      <c r="I298" s="7">
        <v>5.7599999999999998E-2</v>
      </c>
      <c r="J298" s="7">
        <v>4.0599999999999997E-2</v>
      </c>
      <c r="K298" s="7">
        <v>-0.13450000000000001</v>
      </c>
      <c r="L298" s="7">
        <v>1.0500000000000001E-2</v>
      </c>
      <c r="M298" s="5"/>
      <c r="N298" s="5"/>
      <c r="O298" s="5">
        <v>191</v>
      </c>
      <c r="P298" s="7">
        <v>2.9999999999999997E-4</v>
      </c>
      <c r="Q298" s="6">
        <v>46311</v>
      </c>
    </row>
    <row r="299" spans="1:17" ht="83.4" thickBot="1" x14ac:dyDescent="0.35">
      <c r="A299" s="9" t="s">
        <v>234</v>
      </c>
      <c r="B299" s="9" t="s">
        <v>353</v>
      </c>
      <c r="C299" s="9" t="s">
        <v>20</v>
      </c>
      <c r="D299" s="10">
        <v>41549</v>
      </c>
      <c r="E299" s="9" t="s">
        <v>68</v>
      </c>
      <c r="F299" s="9">
        <v>163.497379</v>
      </c>
      <c r="G299" s="11">
        <v>5.1299999999999998E-2</v>
      </c>
      <c r="H299" s="11">
        <v>6.6199999999999995E-2</v>
      </c>
      <c r="I299" s="11">
        <v>6.0100000000000001E-2</v>
      </c>
      <c r="J299" s="11">
        <v>4.3099999999999999E-2</v>
      </c>
      <c r="K299" s="11">
        <v>-0.13250000000000001</v>
      </c>
      <c r="L299" s="11">
        <v>1.29E-2</v>
      </c>
      <c r="M299" s="9"/>
      <c r="N299" s="9"/>
      <c r="O299" s="9">
        <v>105</v>
      </c>
      <c r="P299" s="11">
        <v>1E-4</v>
      </c>
      <c r="Q299" s="10">
        <v>46311</v>
      </c>
    </row>
    <row r="300" spans="1:17" ht="69.599999999999994" thickBot="1" x14ac:dyDescent="0.35">
      <c r="A300" s="5" t="s">
        <v>234</v>
      </c>
      <c r="B300" s="5" t="s">
        <v>354</v>
      </c>
      <c r="C300" s="5" t="s">
        <v>20</v>
      </c>
      <c r="D300" s="6">
        <v>41549</v>
      </c>
      <c r="E300" s="5" t="s">
        <v>68</v>
      </c>
      <c r="F300" s="5">
        <v>0</v>
      </c>
      <c r="G300" s="5"/>
      <c r="H300" s="5"/>
      <c r="I300" s="5"/>
      <c r="J300" s="5"/>
      <c r="K300" s="5"/>
      <c r="L300" s="5"/>
      <c r="M300" s="8">
        <v>30048075.34</v>
      </c>
      <c r="N300" s="7">
        <v>5.0000000000000001E-4</v>
      </c>
      <c r="O300" s="5">
        <v>509</v>
      </c>
      <c r="P300" s="7">
        <v>6.9999999999999999E-4</v>
      </c>
      <c r="Q300" s="6">
        <v>46311</v>
      </c>
    </row>
    <row r="301" spans="1:17" ht="83.4" thickBot="1" x14ac:dyDescent="0.35">
      <c r="A301" s="9" t="s">
        <v>234</v>
      </c>
      <c r="B301" s="9" t="s">
        <v>355</v>
      </c>
      <c r="C301" s="9" t="s">
        <v>20</v>
      </c>
      <c r="D301" s="10">
        <v>41549</v>
      </c>
      <c r="E301" s="9" t="s">
        <v>68</v>
      </c>
      <c r="F301" s="9">
        <v>164.49459590000001</v>
      </c>
      <c r="G301" s="11">
        <v>7.0099999999999996E-2</v>
      </c>
      <c r="H301" s="11">
        <v>6.2399999999999997E-2</v>
      </c>
      <c r="I301" s="11">
        <v>8.1299999999999997E-2</v>
      </c>
      <c r="J301" s="11">
        <v>5.5800000000000002E-2</v>
      </c>
      <c r="K301" s="11">
        <v>-0.12280000000000001</v>
      </c>
      <c r="L301" s="11">
        <v>1.5599999999999999E-2</v>
      </c>
      <c r="M301" s="9"/>
      <c r="N301" s="9"/>
      <c r="O301" s="9">
        <v>327</v>
      </c>
      <c r="P301" s="11">
        <v>4.0000000000000002E-4</v>
      </c>
      <c r="Q301" s="10">
        <v>46311</v>
      </c>
    </row>
    <row r="302" spans="1:17" ht="83.4" thickBot="1" x14ac:dyDescent="0.35">
      <c r="A302" s="5" t="s">
        <v>234</v>
      </c>
      <c r="B302" s="5" t="s">
        <v>356</v>
      </c>
      <c r="C302" s="5" t="s">
        <v>20</v>
      </c>
      <c r="D302" s="6">
        <v>41549</v>
      </c>
      <c r="E302" s="5" t="s">
        <v>68</v>
      </c>
      <c r="F302" s="5">
        <v>169.2677162</v>
      </c>
      <c r="G302" s="7">
        <v>7.2099999999999997E-2</v>
      </c>
      <c r="H302" s="7">
        <v>6.4899999999999999E-2</v>
      </c>
      <c r="I302" s="7">
        <v>8.3900000000000002E-2</v>
      </c>
      <c r="J302" s="7">
        <v>5.8299999999999998E-2</v>
      </c>
      <c r="K302" s="7">
        <v>-0.1207</v>
      </c>
      <c r="L302" s="7">
        <v>1.7999999999999999E-2</v>
      </c>
      <c r="M302" s="5"/>
      <c r="N302" s="5"/>
      <c r="O302" s="5">
        <v>188</v>
      </c>
      <c r="P302" s="7">
        <v>2.0000000000000001E-4</v>
      </c>
      <c r="Q302" s="6">
        <v>46311</v>
      </c>
    </row>
    <row r="303" spans="1:17" ht="55.8" thickBot="1" x14ac:dyDescent="0.35">
      <c r="A303" s="9" t="s">
        <v>234</v>
      </c>
      <c r="B303" s="9" t="s">
        <v>357</v>
      </c>
      <c r="C303" s="9" t="s">
        <v>20</v>
      </c>
      <c r="D303" s="10">
        <v>44742</v>
      </c>
      <c r="E303" s="9" t="s">
        <v>60</v>
      </c>
      <c r="F303" s="9">
        <v>9663.3317760999998</v>
      </c>
      <c r="G303" s="11">
        <v>-2.2499999999999999E-2</v>
      </c>
      <c r="H303" s="11">
        <v>-1.72E-2</v>
      </c>
      <c r="I303" s="11">
        <v>3.8E-3</v>
      </c>
      <c r="J303" s="11">
        <v>0</v>
      </c>
      <c r="K303" s="11">
        <v>2.3E-3</v>
      </c>
      <c r="L303" s="9"/>
      <c r="M303" s="12">
        <v>38192128.600000001</v>
      </c>
      <c r="N303" s="11">
        <v>5.9999999999999995E-4</v>
      </c>
      <c r="O303" s="9">
        <v>123</v>
      </c>
      <c r="P303" s="11">
        <v>2.0000000000000001E-4</v>
      </c>
      <c r="Q303" s="10">
        <v>46311</v>
      </c>
    </row>
    <row r="304" spans="1:17" ht="69.599999999999994" thickBot="1" x14ac:dyDescent="0.35">
      <c r="A304" s="5" t="s">
        <v>234</v>
      </c>
      <c r="B304" s="5" t="s">
        <v>358</v>
      </c>
      <c r="C304" s="5" t="s">
        <v>20</v>
      </c>
      <c r="D304" s="6">
        <v>43286</v>
      </c>
      <c r="E304" s="5" t="s">
        <v>60</v>
      </c>
      <c r="F304" s="5">
        <v>11147.4146482</v>
      </c>
      <c r="G304" s="7">
        <v>1.47E-2</v>
      </c>
      <c r="H304" s="7">
        <v>-1.61E-2</v>
      </c>
      <c r="I304" s="7">
        <v>-7.1499999999999994E-2</v>
      </c>
      <c r="J304" s="7">
        <v>-0.1216</v>
      </c>
      <c r="K304" s="7">
        <v>5.5100000000000003E-2</v>
      </c>
      <c r="L304" s="7">
        <v>0.18729999999999999</v>
      </c>
      <c r="M304" s="8">
        <v>183010571.63</v>
      </c>
      <c r="N304" s="7">
        <v>2.8E-3</v>
      </c>
      <c r="O304" s="5">
        <v>604</v>
      </c>
      <c r="P304" s="7">
        <v>8.0000000000000004E-4</v>
      </c>
      <c r="Q304" s="6">
        <v>46311</v>
      </c>
    </row>
    <row r="305" spans="1:17" ht="69.599999999999994" thickBot="1" x14ac:dyDescent="0.35">
      <c r="A305" s="9" t="s">
        <v>234</v>
      </c>
      <c r="B305" s="9" t="s">
        <v>359</v>
      </c>
      <c r="C305" s="9" t="s">
        <v>20</v>
      </c>
      <c r="D305" s="10">
        <v>42621</v>
      </c>
      <c r="E305" s="9" t="s">
        <v>60</v>
      </c>
      <c r="F305" s="9">
        <v>0</v>
      </c>
      <c r="G305" s="9"/>
      <c r="H305" s="9"/>
      <c r="I305" s="9"/>
      <c r="J305" s="9"/>
      <c r="K305" s="9"/>
      <c r="L305" s="9"/>
      <c r="M305" s="12">
        <v>68841821.75</v>
      </c>
      <c r="N305" s="11">
        <v>1E-3</v>
      </c>
      <c r="O305" s="9">
        <v>466</v>
      </c>
      <c r="P305" s="11">
        <v>5.9999999999999995E-4</v>
      </c>
      <c r="Q305" s="10">
        <v>46311</v>
      </c>
    </row>
    <row r="306" spans="1:17" ht="83.4" thickBot="1" x14ac:dyDescent="0.35">
      <c r="A306" s="5" t="s">
        <v>234</v>
      </c>
      <c r="B306" s="5" t="s">
        <v>360</v>
      </c>
      <c r="C306" s="5" t="s">
        <v>20</v>
      </c>
      <c r="D306" s="6">
        <v>42621</v>
      </c>
      <c r="E306" s="5" t="s">
        <v>60</v>
      </c>
      <c r="F306" s="5">
        <v>150.73764800000001</v>
      </c>
      <c r="G306" s="7">
        <v>3.9E-2</v>
      </c>
      <c r="H306" s="7">
        <v>0.1128</v>
      </c>
      <c r="I306" s="7">
        <v>7.4499999999999997E-2</v>
      </c>
      <c r="J306" s="7">
        <v>0.1079</v>
      </c>
      <c r="K306" s="7">
        <v>-0.1232</v>
      </c>
      <c r="L306" s="7">
        <v>5.5999999999999999E-3</v>
      </c>
      <c r="M306" s="5"/>
      <c r="N306" s="5"/>
      <c r="O306" s="5">
        <v>463</v>
      </c>
      <c r="P306" s="7">
        <v>5.9999999999999995E-4</v>
      </c>
      <c r="Q306" s="6">
        <v>46311</v>
      </c>
    </row>
    <row r="307" spans="1:17" ht="83.4" thickBot="1" x14ac:dyDescent="0.35">
      <c r="A307" s="9" t="s">
        <v>234</v>
      </c>
      <c r="B307" s="9" t="s">
        <v>361</v>
      </c>
      <c r="C307" s="9" t="s">
        <v>20</v>
      </c>
      <c r="D307" s="10">
        <v>42621</v>
      </c>
      <c r="E307" s="9" t="s">
        <v>60</v>
      </c>
      <c r="F307" s="9">
        <v>154.39836779999999</v>
      </c>
      <c r="G307" s="11">
        <v>4.1000000000000002E-2</v>
      </c>
      <c r="H307" s="11">
        <v>0.1154</v>
      </c>
      <c r="I307" s="11">
        <v>7.7100000000000002E-2</v>
      </c>
      <c r="J307" s="11">
        <v>0.1105</v>
      </c>
      <c r="K307" s="11">
        <v>-0.1211</v>
      </c>
      <c r="L307" s="11">
        <v>8.0000000000000002E-3</v>
      </c>
      <c r="M307" s="9"/>
      <c r="N307" s="9"/>
      <c r="O307" s="9">
        <v>7</v>
      </c>
      <c r="P307" s="11">
        <v>0</v>
      </c>
      <c r="Q307" s="10">
        <v>46311</v>
      </c>
    </row>
    <row r="308" spans="1:17" ht="55.8" thickBot="1" x14ac:dyDescent="0.35">
      <c r="A308" s="5" t="s">
        <v>362</v>
      </c>
      <c r="B308" s="5" t="s">
        <v>363</v>
      </c>
      <c r="C308" s="5" t="s">
        <v>364</v>
      </c>
      <c r="D308" s="6">
        <v>44271</v>
      </c>
      <c r="E308" s="5" t="s">
        <v>60</v>
      </c>
      <c r="F308" s="5">
        <v>109.65173369999999</v>
      </c>
      <c r="G308" s="7">
        <v>6.0999999999999999E-2</v>
      </c>
      <c r="H308" s="7">
        <v>7.8700000000000006E-2</v>
      </c>
      <c r="I308" s="7">
        <v>9.6500000000000002E-2</v>
      </c>
      <c r="J308" s="7">
        <v>-1.8499999999999999E-2</v>
      </c>
      <c r="K308" s="7">
        <v>-0.14710000000000001</v>
      </c>
      <c r="L308" s="7">
        <v>4.3700000000000003E-2</v>
      </c>
      <c r="M308" s="8">
        <v>10492894.25</v>
      </c>
      <c r="N308" s="7">
        <v>2.0000000000000001E-4</v>
      </c>
      <c r="O308" s="5">
        <v>10</v>
      </c>
      <c r="P308" s="7">
        <v>0</v>
      </c>
      <c r="Q308" s="6">
        <v>46311</v>
      </c>
    </row>
    <row r="309" spans="1:17" ht="69.599999999999994" thickBot="1" x14ac:dyDescent="0.35">
      <c r="A309" s="9" t="s">
        <v>362</v>
      </c>
      <c r="B309" s="9" t="s">
        <v>365</v>
      </c>
      <c r="C309" s="9" t="s">
        <v>19</v>
      </c>
      <c r="D309" s="10">
        <v>40772</v>
      </c>
      <c r="E309" s="9" t="s">
        <v>60</v>
      </c>
      <c r="F309" s="9">
        <v>11.68084378</v>
      </c>
      <c r="G309" s="11">
        <v>1.0200000000000001E-2</v>
      </c>
      <c r="H309" s="11">
        <v>-1.66E-2</v>
      </c>
      <c r="I309" s="11">
        <v>3.9699999999999999E-2</v>
      </c>
      <c r="J309" s="11">
        <v>5.7000000000000002E-3</v>
      </c>
      <c r="K309" s="11">
        <v>9.1000000000000004E-3</v>
      </c>
      <c r="L309" s="11">
        <v>5.8999999999999999E-3</v>
      </c>
      <c r="M309" s="12">
        <v>58953370.490000002</v>
      </c>
      <c r="N309" s="11">
        <v>8.9999999999999998E-4</v>
      </c>
      <c r="O309" s="12">
        <v>2024</v>
      </c>
      <c r="P309" s="11">
        <v>2.7000000000000001E-3</v>
      </c>
      <c r="Q309" s="10">
        <v>46311</v>
      </c>
    </row>
    <row r="310" spans="1:17" ht="55.8" thickBot="1" x14ac:dyDescent="0.35">
      <c r="A310" s="5" t="s">
        <v>366</v>
      </c>
      <c r="B310" s="5" t="s">
        <v>367</v>
      </c>
      <c r="C310" s="5" t="s">
        <v>17</v>
      </c>
      <c r="D310" s="6">
        <v>45280</v>
      </c>
      <c r="E310" s="5" t="s">
        <v>60</v>
      </c>
      <c r="F310" s="5">
        <v>116.81787699</v>
      </c>
      <c r="G310" s="7">
        <v>3.1399999999999997E-2</v>
      </c>
      <c r="H310" s="7">
        <v>5.5E-2</v>
      </c>
      <c r="I310" s="7">
        <v>6.2700000000000006E-2</v>
      </c>
      <c r="J310" s="7">
        <v>2.3999999999999998E-3</v>
      </c>
      <c r="K310" s="5"/>
      <c r="L310" s="5"/>
      <c r="M310" s="8">
        <v>4996135.72</v>
      </c>
      <c r="N310" s="7">
        <v>1E-4</v>
      </c>
      <c r="O310" s="5">
        <v>106</v>
      </c>
      <c r="P310" s="7">
        <v>1E-4</v>
      </c>
      <c r="Q310" s="6">
        <v>46311</v>
      </c>
    </row>
    <row r="311" spans="1:17" ht="55.8" thickBot="1" x14ac:dyDescent="0.35">
      <c r="A311" s="9" t="s">
        <v>366</v>
      </c>
      <c r="B311" s="9" t="s">
        <v>368</v>
      </c>
      <c r="C311" s="9" t="s">
        <v>17</v>
      </c>
      <c r="D311" s="10">
        <v>45384</v>
      </c>
      <c r="E311" s="9" t="s">
        <v>60</v>
      </c>
      <c r="F311" s="9">
        <v>113.39121806999999</v>
      </c>
      <c r="G311" s="11">
        <v>2.75E-2</v>
      </c>
      <c r="H311" s="11">
        <v>5.2299999999999999E-2</v>
      </c>
      <c r="I311" s="11">
        <v>4.3099999999999999E-2</v>
      </c>
      <c r="J311" s="9"/>
      <c r="K311" s="9"/>
      <c r="L311" s="9"/>
      <c r="M311" s="12">
        <v>4110293.97</v>
      </c>
      <c r="N311" s="11">
        <v>1E-4</v>
      </c>
      <c r="O311" s="9">
        <v>79</v>
      </c>
      <c r="P311" s="11">
        <v>1E-4</v>
      </c>
      <c r="Q311" s="10">
        <v>46311</v>
      </c>
    </row>
    <row r="312" spans="1:17" ht="55.8" thickBot="1" x14ac:dyDescent="0.35">
      <c r="A312" s="5" t="s">
        <v>366</v>
      </c>
      <c r="B312" s="5" t="s">
        <v>369</v>
      </c>
      <c r="C312" s="5" t="s">
        <v>17</v>
      </c>
      <c r="D312" s="6">
        <v>46169</v>
      </c>
      <c r="E312" s="5" t="s">
        <v>60</v>
      </c>
      <c r="F312" s="5">
        <v>101.60233660999999</v>
      </c>
      <c r="G312" s="7">
        <v>1.4200000000000001E-2</v>
      </c>
      <c r="H312" s="5"/>
      <c r="I312" s="5"/>
      <c r="J312" s="5"/>
      <c r="K312" s="5"/>
      <c r="L312" s="5"/>
      <c r="M312" s="8">
        <v>51867902.700000003</v>
      </c>
      <c r="N312" s="7">
        <v>8.0000000000000004E-4</v>
      </c>
      <c r="O312" s="5">
        <v>101</v>
      </c>
      <c r="P312" s="7">
        <v>1E-4</v>
      </c>
      <c r="Q312" s="6">
        <v>46311</v>
      </c>
    </row>
    <row r="313" spans="1:17" ht="55.8" thickBot="1" x14ac:dyDescent="0.35">
      <c r="A313" s="9" t="s">
        <v>366</v>
      </c>
      <c r="B313" s="9" t="s">
        <v>370</v>
      </c>
      <c r="C313" s="9" t="s">
        <v>17</v>
      </c>
      <c r="D313" s="10">
        <v>46220</v>
      </c>
      <c r="E313" s="9" t="s">
        <v>60</v>
      </c>
      <c r="F313" s="9">
        <v>101.08201436</v>
      </c>
      <c r="G313" s="11">
        <v>9.2999999999999992E-3</v>
      </c>
      <c r="H313" s="9"/>
      <c r="I313" s="9"/>
      <c r="J313" s="9"/>
      <c r="K313" s="9"/>
      <c r="L313" s="9"/>
      <c r="M313" s="12">
        <v>111660755.95999999</v>
      </c>
      <c r="N313" s="11">
        <v>1.6999999999999999E-3</v>
      </c>
      <c r="O313" s="9">
        <v>160</v>
      </c>
      <c r="P313" s="11">
        <v>2.0000000000000001E-4</v>
      </c>
      <c r="Q313" s="10">
        <v>46311</v>
      </c>
    </row>
    <row r="314" spans="1:17" ht="55.8" thickBot="1" x14ac:dyDescent="0.35">
      <c r="A314" s="5" t="s">
        <v>366</v>
      </c>
      <c r="B314" s="5" t="s">
        <v>371</v>
      </c>
      <c r="C314" s="5" t="s">
        <v>18</v>
      </c>
      <c r="D314" s="6">
        <v>45566</v>
      </c>
      <c r="E314" s="5" t="s">
        <v>60</v>
      </c>
      <c r="F314" s="5">
        <v>106.475167</v>
      </c>
      <c r="G314" s="7">
        <v>-1</v>
      </c>
      <c r="H314" s="7">
        <v>5.5199999999999999E-2</v>
      </c>
      <c r="I314" s="7">
        <v>5.4999999999999997E-3</v>
      </c>
      <c r="J314" s="5"/>
      <c r="K314" s="5"/>
      <c r="L314" s="5"/>
      <c r="M314" s="8">
        <v>20820251.57</v>
      </c>
      <c r="N314" s="7">
        <v>2.9999999999999997E-4</v>
      </c>
      <c r="O314" s="5">
        <v>112</v>
      </c>
      <c r="P314" s="7">
        <v>1E-4</v>
      </c>
      <c r="Q314" s="6">
        <v>46301</v>
      </c>
    </row>
    <row r="315" spans="1:17" ht="69.599999999999994" thickBot="1" x14ac:dyDescent="0.35">
      <c r="A315" s="9" t="s">
        <v>366</v>
      </c>
      <c r="B315" s="9" t="s">
        <v>372</v>
      </c>
      <c r="C315" s="9" t="s">
        <v>18</v>
      </c>
      <c r="D315" s="10">
        <v>45279</v>
      </c>
      <c r="E315" s="9" t="s">
        <v>60</v>
      </c>
      <c r="F315" s="9">
        <v>112.170331</v>
      </c>
      <c r="G315" s="11">
        <v>1.2999999999999999E-3</v>
      </c>
      <c r="H315" s="11">
        <v>5.7599999999999998E-2</v>
      </c>
      <c r="I315" s="11">
        <v>5.1799999999999999E-2</v>
      </c>
      <c r="J315" s="11">
        <v>4.0000000000000001E-3</v>
      </c>
      <c r="K315" s="9"/>
      <c r="L315" s="9"/>
      <c r="M315" s="12">
        <v>31348955.149999999</v>
      </c>
      <c r="N315" s="11">
        <v>5.0000000000000001E-4</v>
      </c>
      <c r="O315" s="9">
        <v>120</v>
      </c>
      <c r="P315" s="11">
        <v>2.0000000000000001E-4</v>
      </c>
      <c r="Q315" s="10">
        <v>46311</v>
      </c>
    </row>
    <row r="316" spans="1:17" ht="69.599999999999994" thickBot="1" x14ac:dyDescent="0.35">
      <c r="A316" s="5" t="s">
        <v>366</v>
      </c>
      <c r="B316" s="5" t="s">
        <v>373</v>
      </c>
      <c r="C316" s="5" t="s">
        <v>18</v>
      </c>
      <c r="D316" s="6">
        <v>45460</v>
      </c>
      <c r="E316" s="5" t="s">
        <v>60</v>
      </c>
      <c r="F316" s="5">
        <v>109.54812</v>
      </c>
      <c r="G316" s="7">
        <v>-4.7999999999999996E-3</v>
      </c>
      <c r="H316" s="7">
        <v>5.9299999999999999E-2</v>
      </c>
      <c r="I316" s="7">
        <v>3.3599999999999998E-2</v>
      </c>
      <c r="J316" s="5"/>
      <c r="K316" s="5"/>
      <c r="L316" s="5"/>
      <c r="M316" s="8">
        <v>21111895.600000001</v>
      </c>
      <c r="N316" s="7">
        <v>2.9999999999999997E-4</v>
      </c>
      <c r="O316" s="5">
        <v>92</v>
      </c>
      <c r="P316" s="7">
        <v>1E-4</v>
      </c>
      <c r="Q316" s="6">
        <v>46311</v>
      </c>
    </row>
    <row r="317" spans="1:17" ht="69.599999999999994" thickBot="1" x14ac:dyDescent="0.35">
      <c r="A317" s="9" t="s">
        <v>366</v>
      </c>
      <c r="B317" s="9" t="s">
        <v>374</v>
      </c>
      <c r="C317" s="9" t="s">
        <v>18</v>
      </c>
      <c r="D317" s="10">
        <v>43489</v>
      </c>
      <c r="E317" s="9" t="s">
        <v>60</v>
      </c>
      <c r="F317" s="9">
        <v>137.50879</v>
      </c>
      <c r="G317" s="11">
        <v>8.0000000000000002E-3</v>
      </c>
      <c r="H317" s="11">
        <v>9.2499999999999999E-2</v>
      </c>
      <c r="I317" s="11">
        <v>9.4200000000000006E-2</v>
      </c>
      <c r="J317" s="11">
        <v>6.5500000000000003E-2</v>
      </c>
      <c r="K317" s="11">
        <v>-8.8400000000000006E-2</v>
      </c>
      <c r="L317" s="11">
        <v>3.3999999999999998E-3</v>
      </c>
      <c r="M317" s="12">
        <v>273320526.25999999</v>
      </c>
      <c r="N317" s="11">
        <v>4.1999999999999997E-3</v>
      </c>
      <c r="O317" s="9">
        <v>392</v>
      </c>
      <c r="P317" s="11">
        <v>5.0000000000000001E-4</v>
      </c>
      <c r="Q317" s="10">
        <v>46311</v>
      </c>
    </row>
    <row r="318" spans="1:17" ht="55.8" thickBot="1" x14ac:dyDescent="0.35">
      <c r="A318" s="5" t="s">
        <v>366</v>
      </c>
      <c r="B318" s="5" t="s">
        <v>424</v>
      </c>
      <c r="C318" s="5" t="s">
        <v>20</v>
      </c>
      <c r="D318" s="6">
        <v>46267</v>
      </c>
      <c r="E318" s="5" t="s">
        <v>68</v>
      </c>
      <c r="F318" s="5">
        <v>100.813158</v>
      </c>
      <c r="G318" s="7">
        <v>8.0999999999999996E-3</v>
      </c>
      <c r="H318" s="5"/>
      <c r="I318" s="5"/>
      <c r="J318" s="5"/>
      <c r="K318" s="5"/>
      <c r="L318" s="5"/>
      <c r="M318" s="8">
        <v>76097629.099999994</v>
      </c>
      <c r="N318" s="7">
        <v>1.1999999999999999E-3</v>
      </c>
      <c r="O318" s="5">
        <v>10</v>
      </c>
      <c r="P318" s="7">
        <v>0</v>
      </c>
      <c r="Q318" s="6">
        <v>46311</v>
      </c>
    </row>
    <row r="319" spans="1:17" ht="55.8" thickBot="1" x14ac:dyDescent="0.35">
      <c r="A319" s="9" t="s">
        <v>366</v>
      </c>
      <c r="B319" s="9" t="s">
        <v>375</v>
      </c>
      <c r="C319" s="9" t="s">
        <v>31</v>
      </c>
      <c r="D319" s="10">
        <v>42985</v>
      </c>
      <c r="E319" s="9" t="s">
        <v>60</v>
      </c>
      <c r="F319" s="9">
        <v>50.531300000000002</v>
      </c>
      <c r="G319" s="11">
        <v>-9.7000000000000003E-3</v>
      </c>
      <c r="H319" s="11">
        <v>7.9600000000000004E-2</v>
      </c>
      <c r="I319" s="11">
        <v>4.2799999999999998E-2</v>
      </c>
      <c r="J319" s="11">
        <v>5.1900000000000002E-2</v>
      </c>
      <c r="K319" s="11">
        <v>-0.12989999999999999</v>
      </c>
      <c r="L319" s="11">
        <v>-4.8099999999999997E-2</v>
      </c>
      <c r="M319" s="12">
        <v>8326644.1799999997</v>
      </c>
      <c r="N319" s="11">
        <v>1E-4</v>
      </c>
      <c r="O319" s="9">
        <v>145</v>
      </c>
      <c r="P319" s="11">
        <v>2.0000000000000001E-4</v>
      </c>
      <c r="Q319" s="10">
        <v>46311</v>
      </c>
    </row>
    <row r="320" spans="1:17" ht="55.8" thickBot="1" x14ac:dyDescent="0.35">
      <c r="A320" s="5" t="s">
        <v>366</v>
      </c>
      <c r="B320" s="5" t="s">
        <v>376</v>
      </c>
      <c r="C320" s="5" t="s">
        <v>31</v>
      </c>
      <c r="D320" s="6">
        <v>42192</v>
      </c>
      <c r="E320" s="5" t="s">
        <v>60</v>
      </c>
      <c r="F320" s="5">
        <v>0</v>
      </c>
      <c r="G320" s="5"/>
      <c r="H320" s="5"/>
      <c r="I320" s="7">
        <v>-1</v>
      </c>
      <c r="J320" s="7">
        <v>4.2799999999999998E-2</v>
      </c>
      <c r="K320" s="7">
        <v>1.4500000000000001E-2</v>
      </c>
      <c r="L320" s="7">
        <v>4.1000000000000003E-3</v>
      </c>
      <c r="M320" s="8">
        <v>3854579176.3499999</v>
      </c>
      <c r="N320" s="7">
        <v>5.8700000000000002E-2</v>
      </c>
      <c r="O320" s="8">
        <v>26868</v>
      </c>
      <c r="P320" s="7">
        <v>3.5499999999999997E-2</v>
      </c>
      <c r="Q320" s="6">
        <v>46311</v>
      </c>
    </row>
    <row r="321" spans="1:17" ht="55.8" thickBot="1" x14ac:dyDescent="0.35">
      <c r="A321" s="9" t="s">
        <v>366</v>
      </c>
      <c r="B321" s="9" t="s">
        <v>377</v>
      </c>
      <c r="C321" s="9" t="s">
        <v>31</v>
      </c>
      <c r="D321" s="10">
        <v>42192</v>
      </c>
      <c r="E321" s="9" t="s">
        <v>60</v>
      </c>
      <c r="F321" s="9">
        <v>127.0394</v>
      </c>
      <c r="G321" s="11">
        <v>2.69E-2</v>
      </c>
      <c r="H321" s="11">
        <v>3.9300000000000002E-2</v>
      </c>
      <c r="I321" s="9"/>
      <c r="J321" s="9"/>
      <c r="K321" s="9"/>
      <c r="L321" s="9"/>
      <c r="M321" s="9"/>
      <c r="N321" s="9"/>
      <c r="O321" s="12">
        <v>25059</v>
      </c>
      <c r="P321" s="11">
        <v>3.3099999999999997E-2</v>
      </c>
      <c r="Q321" s="10">
        <v>46311</v>
      </c>
    </row>
    <row r="322" spans="1:17" ht="55.8" thickBot="1" x14ac:dyDescent="0.35">
      <c r="A322" s="5" t="s">
        <v>366</v>
      </c>
      <c r="B322" s="5" t="s">
        <v>378</v>
      </c>
      <c r="C322" s="5" t="s">
        <v>31</v>
      </c>
      <c r="D322" s="6">
        <v>42192</v>
      </c>
      <c r="E322" s="5" t="s">
        <v>60</v>
      </c>
      <c r="F322" s="5">
        <v>127.18089999999999</v>
      </c>
      <c r="G322" s="7">
        <v>2.7300000000000001E-2</v>
      </c>
      <c r="H322" s="7">
        <v>3.9699999999999999E-2</v>
      </c>
      <c r="I322" s="5"/>
      <c r="J322" s="5"/>
      <c r="K322" s="5"/>
      <c r="L322" s="5"/>
      <c r="M322" s="5"/>
      <c r="N322" s="5"/>
      <c r="O322" s="5">
        <v>200</v>
      </c>
      <c r="P322" s="7">
        <v>2.9999999999999997E-4</v>
      </c>
      <c r="Q322" s="6">
        <v>46311</v>
      </c>
    </row>
    <row r="323" spans="1:17" ht="55.8" thickBot="1" x14ac:dyDescent="0.35">
      <c r="A323" s="9" t="s">
        <v>366</v>
      </c>
      <c r="B323" s="9" t="s">
        <v>379</v>
      </c>
      <c r="C323" s="9" t="s">
        <v>31</v>
      </c>
      <c r="D323" s="10">
        <v>42192</v>
      </c>
      <c r="E323" s="9" t="s">
        <v>60</v>
      </c>
      <c r="F323" s="9">
        <v>127.1087</v>
      </c>
      <c r="G323" s="11">
        <v>2.7099999999999999E-2</v>
      </c>
      <c r="H323" s="11">
        <v>3.95E-2</v>
      </c>
      <c r="I323" s="9"/>
      <c r="J323" s="9"/>
      <c r="K323" s="9"/>
      <c r="L323" s="9"/>
      <c r="M323" s="9"/>
      <c r="N323" s="9"/>
      <c r="O323" s="12">
        <v>1609</v>
      </c>
      <c r="P323" s="11">
        <v>2.0999999999999999E-3</v>
      </c>
      <c r="Q323" s="10">
        <v>46311</v>
      </c>
    </row>
    <row r="324" spans="1:17" ht="55.8" thickBot="1" x14ac:dyDescent="0.35">
      <c r="A324" s="5" t="s">
        <v>380</v>
      </c>
      <c r="B324" s="5" t="s">
        <v>381</v>
      </c>
      <c r="C324" s="5" t="s">
        <v>18</v>
      </c>
      <c r="D324" s="6">
        <v>46244</v>
      </c>
      <c r="E324" s="5" t="s">
        <v>68</v>
      </c>
      <c r="F324" s="5">
        <v>100.94075175</v>
      </c>
      <c r="G324" s="7">
        <v>8.6999999999999994E-3</v>
      </c>
      <c r="H324" s="5"/>
      <c r="I324" s="5"/>
      <c r="J324" s="5"/>
      <c r="K324" s="5"/>
      <c r="L324" s="5"/>
      <c r="M324" s="8">
        <v>6997165.4199999999</v>
      </c>
      <c r="N324" s="7">
        <v>1E-4</v>
      </c>
      <c r="O324" s="5">
        <v>18</v>
      </c>
      <c r="P324" s="7">
        <v>0</v>
      </c>
      <c r="Q324" s="6">
        <v>46311</v>
      </c>
    </row>
    <row r="325" spans="1:17" ht="55.8" thickBot="1" x14ac:dyDescent="0.35">
      <c r="A325" s="9" t="s">
        <v>380</v>
      </c>
      <c r="B325" s="9" t="s">
        <v>425</v>
      </c>
      <c r="C325" s="9" t="s">
        <v>18</v>
      </c>
      <c r="D325" s="10">
        <v>46205</v>
      </c>
      <c r="E325" s="9" t="s">
        <v>68</v>
      </c>
      <c r="F325" s="9">
        <v>101.27132743</v>
      </c>
      <c r="G325" s="11">
        <v>-1</v>
      </c>
      <c r="H325" s="9"/>
      <c r="I325" s="9"/>
      <c r="J325" s="9"/>
      <c r="K325" s="9"/>
      <c r="L325" s="9"/>
      <c r="M325" s="12">
        <v>3036375.27</v>
      </c>
      <c r="N325" s="11">
        <v>0</v>
      </c>
      <c r="O325" s="9">
        <v>1</v>
      </c>
      <c r="P325" s="11">
        <v>0</v>
      </c>
      <c r="Q325" s="10">
        <v>46306</v>
      </c>
    </row>
    <row r="326" spans="1:17" ht="55.8" thickBot="1" x14ac:dyDescent="0.35">
      <c r="A326" s="5" t="s">
        <v>380</v>
      </c>
      <c r="B326" s="5" t="s">
        <v>426</v>
      </c>
      <c r="C326" s="5" t="s">
        <v>18</v>
      </c>
      <c r="D326" s="6">
        <v>46289</v>
      </c>
      <c r="E326" s="5" t="s">
        <v>68</v>
      </c>
      <c r="F326" s="5">
        <v>100.58602299</v>
      </c>
      <c r="G326" s="7">
        <v>3.0999999999999999E-3</v>
      </c>
      <c r="H326" s="5"/>
      <c r="I326" s="5"/>
      <c r="J326" s="5"/>
      <c r="K326" s="5"/>
      <c r="L326" s="5"/>
      <c r="M326" s="8">
        <v>35515004.950000003</v>
      </c>
      <c r="N326" s="7">
        <v>5.0000000000000001E-4</v>
      </c>
      <c r="O326" s="5">
        <v>11</v>
      </c>
      <c r="P326" s="7">
        <v>0</v>
      </c>
      <c r="Q326" s="6">
        <v>46311</v>
      </c>
    </row>
    <row r="327" spans="1:17" ht="55.8" thickBot="1" x14ac:dyDescent="0.35">
      <c r="A327" s="9" t="s">
        <v>380</v>
      </c>
      <c r="B327" s="9" t="s">
        <v>427</v>
      </c>
      <c r="C327" s="9" t="s">
        <v>20</v>
      </c>
      <c r="D327" s="10">
        <v>46265</v>
      </c>
      <c r="E327" s="9" t="s">
        <v>68</v>
      </c>
      <c r="F327" s="9">
        <v>100.73082839999999</v>
      </c>
      <c r="G327" s="11">
        <v>7.1000000000000004E-3</v>
      </c>
      <c r="H327" s="9"/>
      <c r="I327" s="9"/>
      <c r="J327" s="9"/>
      <c r="K327" s="9"/>
      <c r="L327" s="9"/>
      <c r="M327" s="12">
        <v>130776054.11</v>
      </c>
      <c r="N327" s="11">
        <v>2E-3</v>
      </c>
      <c r="O327" s="9">
        <v>13</v>
      </c>
      <c r="P327" s="11">
        <v>0</v>
      </c>
      <c r="Q327" s="10">
        <v>46311</v>
      </c>
    </row>
    <row r="328" spans="1:17" ht="55.8" thickBot="1" x14ac:dyDescent="0.35">
      <c r="A328" s="5" t="s">
        <v>380</v>
      </c>
      <c r="B328" s="5" t="s">
        <v>382</v>
      </c>
      <c r="C328" s="5" t="s">
        <v>20</v>
      </c>
      <c r="D328" s="6">
        <v>46119</v>
      </c>
      <c r="E328" s="5" t="s">
        <v>68</v>
      </c>
      <c r="F328" s="5">
        <v>103.1649488</v>
      </c>
      <c r="G328" s="7">
        <v>3.1099999999999999E-2</v>
      </c>
      <c r="H328" s="5"/>
      <c r="I328" s="5"/>
      <c r="J328" s="5"/>
      <c r="K328" s="5"/>
      <c r="L328" s="5"/>
      <c r="M328" s="8">
        <v>245814945.99000001</v>
      </c>
      <c r="N328" s="7">
        <v>3.7000000000000002E-3</v>
      </c>
      <c r="O328" s="5">
        <v>10</v>
      </c>
      <c r="P328" s="7">
        <v>0</v>
      </c>
      <c r="Q328" s="6">
        <v>46311</v>
      </c>
    </row>
    <row r="329" spans="1:17" ht="55.8" thickBot="1" x14ac:dyDescent="0.35">
      <c r="A329" s="9" t="s">
        <v>380</v>
      </c>
      <c r="B329" s="9" t="s">
        <v>383</v>
      </c>
      <c r="C329" s="9" t="s">
        <v>31</v>
      </c>
      <c r="D329" s="10">
        <v>42131</v>
      </c>
      <c r="E329" s="9" t="s">
        <v>68</v>
      </c>
      <c r="F329" s="9">
        <v>0</v>
      </c>
      <c r="G329" s="9"/>
      <c r="H329" s="9"/>
      <c r="I329" s="9"/>
      <c r="J329" s="9"/>
      <c r="K329" s="9"/>
      <c r="L329" s="9"/>
      <c r="M329" s="12">
        <v>1766738774.3099999</v>
      </c>
      <c r="N329" s="11">
        <v>2.69E-2</v>
      </c>
      <c r="O329" s="12">
        <v>32280</v>
      </c>
      <c r="P329" s="11">
        <v>4.2599999999999999E-2</v>
      </c>
      <c r="Q329" s="10">
        <v>46311</v>
      </c>
    </row>
    <row r="330" spans="1:17" ht="69.599999999999994" thickBot="1" x14ac:dyDescent="0.35">
      <c r="A330" s="5" t="s">
        <v>380</v>
      </c>
      <c r="B330" s="5" t="s">
        <v>384</v>
      </c>
      <c r="C330" s="5" t="s">
        <v>31</v>
      </c>
      <c r="D330" s="6">
        <v>42131</v>
      </c>
      <c r="E330" s="5" t="s">
        <v>68</v>
      </c>
      <c r="F330" s="5">
        <v>146.0181</v>
      </c>
      <c r="G330" s="7">
        <v>2.81E-2</v>
      </c>
      <c r="H330" s="7">
        <v>3.7199999999999997E-2</v>
      </c>
      <c r="I330" s="7">
        <v>4.9000000000000002E-2</v>
      </c>
      <c r="J330" s="7">
        <v>6.3899999999999998E-2</v>
      </c>
      <c r="K330" s="7">
        <v>3.95E-2</v>
      </c>
      <c r="L330" s="7">
        <v>5.1999999999999998E-3</v>
      </c>
      <c r="M330" s="5"/>
      <c r="N330" s="5"/>
      <c r="O330" s="8">
        <v>29968</v>
      </c>
      <c r="P330" s="7">
        <v>3.9600000000000003E-2</v>
      </c>
      <c r="Q330" s="6">
        <v>46311</v>
      </c>
    </row>
    <row r="331" spans="1:17" ht="69.599999999999994" thickBot="1" x14ac:dyDescent="0.35">
      <c r="A331" s="9" t="s">
        <v>380</v>
      </c>
      <c r="B331" s="9" t="s">
        <v>385</v>
      </c>
      <c r="C331" s="9" t="s">
        <v>31</v>
      </c>
      <c r="D331" s="10">
        <v>42131</v>
      </c>
      <c r="E331" s="9" t="s">
        <v>68</v>
      </c>
      <c r="F331" s="9">
        <v>147.35480000000001</v>
      </c>
      <c r="G331" s="11">
        <v>2.9499999999999998E-2</v>
      </c>
      <c r="H331" s="11">
        <v>3.9E-2</v>
      </c>
      <c r="I331" s="11">
        <v>5.0799999999999998E-2</v>
      </c>
      <c r="J331" s="11">
        <v>6.54E-2</v>
      </c>
      <c r="K331" s="11">
        <v>4.07E-2</v>
      </c>
      <c r="L331" s="11">
        <v>6.4000000000000003E-3</v>
      </c>
      <c r="M331" s="9"/>
      <c r="N331" s="9"/>
      <c r="O331" s="9">
        <v>145</v>
      </c>
      <c r="P331" s="11">
        <v>2.0000000000000001E-4</v>
      </c>
      <c r="Q331" s="10">
        <v>46311</v>
      </c>
    </row>
    <row r="332" spans="1:17" ht="69.599999999999994" thickBot="1" x14ac:dyDescent="0.35">
      <c r="A332" s="5" t="s">
        <v>380</v>
      </c>
      <c r="B332" s="5" t="s">
        <v>386</v>
      </c>
      <c r="C332" s="5" t="s">
        <v>31</v>
      </c>
      <c r="D332" s="6">
        <v>42131</v>
      </c>
      <c r="E332" s="5" t="s">
        <v>68</v>
      </c>
      <c r="F332" s="5">
        <v>146.2253</v>
      </c>
      <c r="G332" s="7">
        <v>2.86E-2</v>
      </c>
      <c r="H332" s="7">
        <v>3.78E-2</v>
      </c>
      <c r="I332" s="5"/>
      <c r="J332" s="5"/>
      <c r="K332" s="5"/>
      <c r="L332" s="5"/>
      <c r="M332" s="5"/>
      <c r="N332" s="5"/>
      <c r="O332" s="8">
        <v>2167</v>
      </c>
      <c r="P332" s="7">
        <v>2.8999999999999998E-3</v>
      </c>
      <c r="Q332" s="6">
        <v>46311</v>
      </c>
    </row>
    <row r="333" spans="1:17" ht="69.599999999999994" thickBot="1" x14ac:dyDescent="0.35">
      <c r="A333" s="9" t="s">
        <v>380</v>
      </c>
      <c r="B333" s="9" t="s">
        <v>387</v>
      </c>
      <c r="C333" s="9" t="s">
        <v>20</v>
      </c>
      <c r="D333" s="10">
        <v>45042</v>
      </c>
      <c r="E333" s="9" t="s">
        <v>68</v>
      </c>
      <c r="F333" s="9">
        <v>112.4799491</v>
      </c>
      <c r="G333" s="11">
        <v>-3.9300000000000002E-2</v>
      </c>
      <c r="H333" s="11">
        <v>4.4499999999999998E-2</v>
      </c>
      <c r="I333" s="11">
        <v>3.5099999999999999E-2</v>
      </c>
      <c r="J333" s="11">
        <v>4.7300000000000002E-2</v>
      </c>
      <c r="K333" s="9"/>
      <c r="L333" s="9"/>
      <c r="M333" s="12">
        <v>84973043.180000007</v>
      </c>
      <c r="N333" s="11">
        <v>1.2999999999999999E-3</v>
      </c>
      <c r="O333" s="9">
        <v>319</v>
      </c>
      <c r="P333" s="11">
        <v>4.0000000000000002E-4</v>
      </c>
      <c r="Q333" s="10">
        <v>46311</v>
      </c>
    </row>
    <row r="334" spans="1:17" ht="55.8" thickBot="1" x14ac:dyDescent="0.35">
      <c r="A334" s="5" t="s">
        <v>380</v>
      </c>
      <c r="B334" s="5" t="s">
        <v>388</v>
      </c>
      <c r="C334" s="5" t="s">
        <v>20</v>
      </c>
      <c r="D334" s="6">
        <v>45987</v>
      </c>
      <c r="E334" s="5" t="s">
        <v>68</v>
      </c>
      <c r="F334" s="5">
        <v>104.2776078</v>
      </c>
      <c r="G334" s="7">
        <v>3.9699999999999999E-2</v>
      </c>
      <c r="H334" s="7">
        <v>2.5999999999999999E-3</v>
      </c>
      <c r="I334" s="5"/>
      <c r="J334" s="5"/>
      <c r="K334" s="5"/>
      <c r="L334" s="5"/>
      <c r="M334" s="8">
        <v>130513975.34999999</v>
      </c>
      <c r="N334" s="7">
        <v>2E-3</v>
      </c>
      <c r="O334" s="5">
        <v>11</v>
      </c>
      <c r="P334" s="7">
        <v>0</v>
      </c>
      <c r="Q334" s="6">
        <v>46311</v>
      </c>
    </row>
    <row r="335" spans="1:17" ht="69.599999999999994" thickBot="1" x14ac:dyDescent="0.35">
      <c r="A335" s="9" t="s">
        <v>389</v>
      </c>
      <c r="B335" s="9" t="s">
        <v>390</v>
      </c>
      <c r="C335" s="9" t="s">
        <v>286</v>
      </c>
      <c r="D335" s="10">
        <v>45748</v>
      </c>
      <c r="E335" s="9" t="s">
        <v>68</v>
      </c>
      <c r="F335" s="9">
        <v>110.97623470000001</v>
      </c>
      <c r="G335" s="11">
        <v>3.3E-3</v>
      </c>
      <c r="H335" s="11">
        <v>0.1062</v>
      </c>
      <c r="I335" s="9"/>
      <c r="J335" s="9"/>
      <c r="K335" s="9"/>
      <c r="L335" s="9"/>
      <c r="M335" s="12">
        <v>149540476.25999999</v>
      </c>
      <c r="N335" s="11">
        <v>2.3E-3</v>
      </c>
      <c r="O335" s="9">
        <v>547</v>
      </c>
      <c r="P335" s="11">
        <v>6.9999999999999999E-4</v>
      </c>
      <c r="Q335" s="10">
        <v>46311</v>
      </c>
    </row>
    <row r="336" spans="1:17" ht="55.8" thickBot="1" x14ac:dyDescent="0.35">
      <c r="A336" s="5" t="s">
        <v>389</v>
      </c>
      <c r="B336" s="5" t="s">
        <v>391</v>
      </c>
      <c r="C336" s="5" t="s">
        <v>286</v>
      </c>
      <c r="D336" s="6">
        <v>44266</v>
      </c>
      <c r="E336" s="5" t="s">
        <v>60</v>
      </c>
      <c r="F336" s="5">
        <v>24.914976100000001</v>
      </c>
      <c r="G336" s="7">
        <v>0.32379999999999998</v>
      </c>
      <c r="H336" s="7">
        <v>0.63519999999999999</v>
      </c>
      <c r="I336" s="7">
        <v>4.5999999999999999E-2</v>
      </c>
      <c r="J336" s="7">
        <v>0.29149999999999998</v>
      </c>
      <c r="K336" s="7">
        <v>8.6E-3</v>
      </c>
      <c r="L336" s="7">
        <v>-0.1739</v>
      </c>
      <c r="M336" s="8">
        <v>187789158.06999999</v>
      </c>
      <c r="N336" s="7">
        <v>2.8999999999999998E-3</v>
      </c>
      <c r="O336" s="8">
        <v>1277</v>
      </c>
      <c r="P336" s="7">
        <v>1.6999999999999999E-3</v>
      </c>
      <c r="Q336" s="6">
        <v>46311</v>
      </c>
    </row>
    <row r="337" spans="1:17" ht="42" thickBot="1" x14ac:dyDescent="0.35">
      <c r="A337" s="9" t="s">
        <v>392</v>
      </c>
      <c r="B337" s="9" t="s">
        <v>393</v>
      </c>
      <c r="C337" s="9" t="s">
        <v>17</v>
      </c>
      <c r="D337" s="10">
        <v>46203</v>
      </c>
      <c r="E337" s="9" t="s">
        <v>68</v>
      </c>
      <c r="F337" s="9">
        <v>102.03378614</v>
      </c>
      <c r="G337" s="11">
        <v>1.6500000000000001E-2</v>
      </c>
      <c r="H337" s="9"/>
      <c r="I337" s="9"/>
      <c r="J337" s="9"/>
      <c r="K337" s="9"/>
      <c r="L337" s="9"/>
      <c r="M337" s="12">
        <v>176268413.16999999</v>
      </c>
      <c r="N337" s="11">
        <v>2.7000000000000001E-3</v>
      </c>
      <c r="O337" s="9">
        <v>317</v>
      </c>
      <c r="P337" s="11">
        <v>4.0000000000000002E-4</v>
      </c>
      <c r="Q337" s="10">
        <v>46311</v>
      </c>
    </row>
    <row r="338" spans="1:17" ht="42" thickBot="1" x14ac:dyDescent="0.35">
      <c r="A338" s="5" t="s">
        <v>392</v>
      </c>
      <c r="B338" s="5" t="s">
        <v>428</v>
      </c>
      <c r="C338" s="5" t="s">
        <v>20</v>
      </c>
      <c r="D338" s="6">
        <v>46170</v>
      </c>
      <c r="E338" s="5" t="s">
        <v>68</v>
      </c>
      <c r="F338" s="5">
        <v>102.0817401</v>
      </c>
      <c r="G338" s="7">
        <v>2.0799999999999999E-2</v>
      </c>
      <c r="H338" s="5"/>
      <c r="I338" s="5"/>
      <c r="J338" s="5"/>
      <c r="K338" s="5"/>
      <c r="L338" s="5"/>
      <c r="M338" s="8">
        <v>147157380.22999999</v>
      </c>
      <c r="N338" s="7">
        <v>2.2000000000000001E-3</v>
      </c>
      <c r="O338" s="5">
        <v>28</v>
      </c>
      <c r="P338" s="7">
        <v>0</v>
      </c>
      <c r="Q338" s="6">
        <v>46311</v>
      </c>
    </row>
    <row r="339" spans="1:17" ht="42" thickBot="1" x14ac:dyDescent="0.35">
      <c r="A339" s="9" t="s">
        <v>392</v>
      </c>
      <c r="B339" s="9" t="s">
        <v>429</v>
      </c>
      <c r="C339" s="9" t="s">
        <v>20</v>
      </c>
      <c r="D339" s="10">
        <v>46225</v>
      </c>
      <c r="E339" s="9" t="s">
        <v>68</v>
      </c>
      <c r="F339" s="9">
        <v>101.332487</v>
      </c>
      <c r="G339" s="11">
        <v>1.3299999999999999E-2</v>
      </c>
      <c r="H339" s="9"/>
      <c r="I339" s="9"/>
      <c r="J339" s="9"/>
      <c r="K339" s="9"/>
      <c r="L339" s="9"/>
      <c r="M339" s="12">
        <v>120691672.84999999</v>
      </c>
      <c r="N339" s="11">
        <v>1.8E-3</v>
      </c>
      <c r="O339" s="9">
        <v>19</v>
      </c>
      <c r="P339" s="11">
        <v>0</v>
      </c>
      <c r="Q339" s="10">
        <v>46311</v>
      </c>
    </row>
    <row r="340" spans="1:17" x14ac:dyDescent="0.3">
      <c r="A340" s="13" t="s">
        <v>394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</row>
    <row r="341" spans="1:17" x14ac:dyDescent="0.3">
      <c r="A341" s="13" t="s">
        <v>395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</row>
    <row r="342" spans="1:17" x14ac:dyDescent="0.3">
      <c r="A342" s="13" t="s">
        <v>430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A206-04F4-4869-BD63-B7EF3BA6EA57}">
  <dimension ref="A3:N63"/>
  <sheetViews>
    <sheetView topLeftCell="A38" zoomScale="115" zoomScaleNormal="115" workbookViewId="0">
      <selection activeCell="J58" sqref="J58"/>
    </sheetView>
  </sheetViews>
  <sheetFormatPr baseColWidth="10" defaultRowHeight="14.4" x14ac:dyDescent="0.3"/>
  <cols>
    <col min="1" max="1" width="27.77734375" bestFit="1" customWidth="1"/>
    <col min="2" max="2" width="18.44140625" bestFit="1" customWidth="1"/>
    <col min="3" max="3" width="17.88671875" bestFit="1" customWidth="1"/>
    <col min="5" max="5" width="11.5546875" customWidth="1"/>
    <col min="6" max="7" width="12.5546875" bestFit="1" customWidth="1"/>
    <col min="14" max="14" width="21.109375" bestFit="1" customWidth="1"/>
  </cols>
  <sheetData>
    <row r="3" spans="1:3" x14ac:dyDescent="0.3">
      <c r="A3" s="15" t="s">
        <v>398</v>
      </c>
      <c r="B3" t="s">
        <v>400</v>
      </c>
      <c r="C3" t="s">
        <v>401</v>
      </c>
    </row>
    <row r="4" spans="1:3" x14ac:dyDescent="0.3">
      <c r="A4" s="16">
        <v>45946</v>
      </c>
      <c r="B4" s="21">
        <v>2582.0335294700008</v>
      </c>
      <c r="C4" s="21">
        <v>12558532159.220001</v>
      </c>
    </row>
    <row r="5" spans="1:3" x14ac:dyDescent="0.3">
      <c r="A5" s="17" t="s">
        <v>22</v>
      </c>
      <c r="B5" s="21">
        <v>169.08254138999999</v>
      </c>
      <c r="C5" s="21">
        <v>2914627174.0599999</v>
      </c>
    </row>
    <row r="6" spans="1:3" x14ac:dyDescent="0.3">
      <c r="A6" s="17" t="s">
        <v>23</v>
      </c>
      <c r="B6" s="21">
        <v>206.54572515000001</v>
      </c>
      <c r="C6" s="21">
        <v>972196309.63999999</v>
      </c>
    </row>
    <row r="7" spans="1:3" x14ac:dyDescent="0.3">
      <c r="A7" s="17" t="s">
        <v>32</v>
      </c>
      <c r="B7" s="21">
        <v>397.37435775</v>
      </c>
      <c r="C7" s="21">
        <v>387165396.61000001</v>
      </c>
    </row>
    <row r="8" spans="1:3" x14ac:dyDescent="0.3">
      <c r="A8" s="17" t="s">
        <v>24</v>
      </c>
      <c r="B8" s="21">
        <v>130.56815967</v>
      </c>
      <c r="C8" s="21">
        <v>296784355.68000001</v>
      </c>
    </row>
    <row r="9" spans="1:3" x14ac:dyDescent="0.3">
      <c r="A9" s="17" t="s">
        <v>33</v>
      </c>
      <c r="B9" s="21">
        <v>219.21646100000001</v>
      </c>
      <c r="C9" s="21">
        <v>723641650.04999995</v>
      </c>
    </row>
    <row r="10" spans="1:3" x14ac:dyDescent="0.3">
      <c r="A10" s="17" t="s">
        <v>25</v>
      </c>
      <c r="B10" s="21">
        <v>160.52851999999999</v>
      </c>
      <c r="C10" s="21">
        <v>1212087976.1900001</v>
      </c>
    </row>
    <row r="11" spans="1:3" x14ac:dyDescent="0.3">
      <c r="A11" s="17" t="s">
        <v>26</v>
      </c>
      <c r="B11" s="21">
        <v>347.98733499999997</v>
      </c>
      <c r="C11" s="21">
        <v>2651006720.9400001</v>
      </c>
    </row>
    <row r="12" spans="1:3" x14ac:dyDescent="0.3">
      <c r="A12" s="17" t="s">
        <v>40</v>
      </c>
      <c r="B12" s="21">
        <v>107.59950000000001</v>
      </c>
      <c r="C12" s="21">
        <v>163282307</v>
      </c>
    </row>
    <row r="13" spans="1:3" x14ac:dyDescent="0.3">
      <c r="A13" s="17" t="s">
        <v>34</v>
      </c>
      <c r="B13" s="21">
        <v>229.0359</v>
      </c>
      <c r="C13" s="21">
        <v>102843532.77</v>
      </c>
    </row>
    <row r="14" spans="1:3" x14ac:dyDescent="0.3">
      <c r="A14" s="17" t="s">
        <v>27</v>
      </c>
      <c r="B14" s="21">
        <v>11.739330109999999</v>
      </c>
      <c r="C14" s="21">
        <v>1191454547.5899999</v>
      </c>
    </row>
    <row r="15" spans="1:3" x14ac:dyDescent="0.3">
      <c r="A15" s="17" t="s">
        <v>28</v>
      </c>
      <c r="B15" s="21">
        <v>196.89076600000001</v>
      </c>
      <c r="C15" s="21">
        <v>318362135.75999999</v>
      </c>
    </row>
    <row r="16" spans="1:3" x14ac:dyDescent="0.3">
      <c r="A16" s="17" t="s">
        <v>35</v>
      </c>
      <c r="B16" s="21">
        <v>236.17500010000001</v>
      </c>
      <c r="C16" s="21">
        <v>124627197.23999999</v>
      </c>
    </row>
    <row r="17" spans="1:13" x14ac:dyDescent="0.3">
      <c r="A17" s="17" t="s">
        <v>29</v>
      </c>
      <c r="B17" s="21">
        <v>169.2899333</v>
      </c>
      <c r="C17" s="21">
        <v>1500452855.6900001</v>
      </c>
    </row>
    <row r="18" spans="1:13" x14ac:dyDescent="0.3">
      <c r="A18" s="16">
        <v>46311</v>
      </c>
      <c r="B18" s="21">
        <v>2677.1307584400006</v>
      </c>
      <c r="C18" s="21">
        <v>13392642655.965002</v>
      </c>
    </row>
    <row r="19" spans="1:13" x14ac:dyDescent="0.3">
      <c r="A19" s="17" t="s">
        <v>22</v>
      </c>
      <c r="B19" s="21">
        <v>175.83459361000001</v>
      </c>
      <c r="C19" s="21">
        <v>2705450184.71</v>
      </c>
    </row>
    <row r="20" spans="1:13" x14ac:dyDescent="0.3">
      <c r="A20" s="17" t="s">
        <v>23</v>
      </c>
      <c r="B20" s="21">
        <v>215.18728877999999</v>
      </c>
      <c r="C20" s="21">
        <v>901603838.59000003</v>
      </c>
      <c r="E20" t="s">
        <v>402</v>
      </c>
      <c r="G20">
        <f>SUMPRODUCT(F21:F24,G21:G24)/SUM(G21:G24)</f>
        <v>204.05176018463229</v>
      </c>
      <c r="L20">
        <f>SUMPRODUCT(K21:K24,L21:L24)/SUM(L21:L24)</f>
        <v>223.96817101623438</v>
      </c>
      <c r="M20" s="18">
        <f>SUMPRODUCT(M21:M24,L21:L24)/SUM(L21:L24)</f>
        <v>4.0333330315490322E-2</v>
      </c>
    </row>
    <row r="21" spans="1:13" x14ac:dyDescent="0.3">
      <c r="A21" s="17" t="s">
        <v>32</v>
      </c>
      <c r="B21" s="21">
        <v>411.62102847</v>
      </c>
      <c r="C21" s="21">
        <v>438285237.41000003</v>
      </c>
      <c r="E21" t="s">
        <v>26</v>
      </c>
      <c r="F21">
        <v>347.74867799999998</v>
      </c>
      <c r="G21">
        <v>2695835758.3099999</v>
      </c>
      <c r="J21" t="s">
        <v>26</v>
      </c>
      <c r="K21">
        <v>361.46004819000001</v>
      </c>
      <c r="L21">
        <v>3451869354.6100001</v>
      </c>
      <c r="M21" s="18">
        <f>K21/F21-1</f>
        <v>3.9428964241813746E-2</v>
      </c>
    </row>
    <row r="22" spans="1:13" x14ac:dyDescent="0.3">
      <c r="A22" s="17" t="s">
        <v>24</v>
      </c>
      <c r="B22" s="21">
        <v>136.05660689000001</v>
      </c>
      <c r="C22" s="21">
        <v>391665509.10000002</v>
      </c>
      <c r="E22" t="s">
        <v>27</v>
      </c>
      <c r="F22">
        <v>11.731005850000001</v>
      </c>
      <c r="G22">
        <v>1196654662</v>
      </c>
      <c r="J22" t="s">
        <v>27</v>
      </c>
      <c r="K22">
        <v>12.21523575</v>
      </c>
      <c r="L22">
        <v>1249435239.9400001</v>
      </c>
      <c r="M22" s="18">
        <f t="shared" ref="M22:M24" si="0">K22/F22-1</f>
        <v>4.1277781819535786E-2</v>
      </c>
    </row>
    <row r="23" spans="1:13" x14ac:dyDescent="0.3">
      <c r="A23" s="17" t="s">
        <v>33</v>
      </c>
      <c r="B23" s="21">
        <v>227.19794242</v>
      </c>
      <c r="C23" s="21">
        <v>758788918.42999995</v>
      </c>
      <c r="E23" t="s">
        <v>22</v>
      </c>
      <c r="F23">
        <v>168.95558728</v>
      </c>
      <c r="G23">
        <v>2928603624.1599998</v>
      </c>
      <c r="J23" t="s">
        <v>22</v>
      </c>
      <c r="K23">
        <v>175.68375476</v>
      </c>
      <c r="L23">
        <v>2705748233.4099998</v>
      </c>
      <c r="M23" s="18">
        <f>K23/F23-1</f>
        <v>3.9822107030114351E-2</v>
      </c>
    </row>
    <row r="24" spans="1:13" x14ac:dyDescent="0.3">
      <c r="A24" s="17" t="s">
        <v>25</v>
      </c>
      <c r="B24" s="21">
        <v>166.77472852</v>
      </c>
      <c r="C24" s="21">
        <v>1312884105.1199999</v>
      </c>
      <c r="E24" t="s">
        <v>29</v>
      </c>
      <c r="F24">
        <v>169.17041</v>
      </c>
      <c r="G24">
        <v>1561263617.4000001</v>
      </c>
      <c r="J24" t="s">
        <v>29</v>
      </c>
      <c r="K24">
        <v>176.33114180000001</v>
      </c>
      <c r="L24">
        <v>1666496529.3</v>
      </c>
      <c r="M24" s="18">
        <f t="shared" si="0"/>
        <v>4.2328512415380493E-2</v>
      </c>
    </row>
    <row r="25" spans="1:13" x14ac:dyDescent="0.3">
      <c r="A25" s="17" t="s">
        <v>26</v>
      </c>
      <c r="B25" s="21">
        <v>361.75432577999999</v>
      </c>
      <c r="C25" s="21">
        <v>3481232200.6300001</v>
      </c>
      <c r="M25" s="18"/>
    </row>
    <row r="26" spans="1:13" x14ac:dyDescent="0.3">
      <c r="A26" s="17" t="s">
        <v>40</v>
      </c>
      <c r="B26" s="21">
        <v>110.97620000000001</v>
      </c>
      <c r="C26" s="21">
        <v>149576430.905</v>
      </c>
      <c r="E26" t="s">
        <v>403</v>
      </c>
      <c r="G26">
        <f>SUMPRODUCT(F27:F30,G27:G30)/SUM(G27:G30)</f>
        <v>177.42128454218926</v>
      </c>
      <c r="L26">
        <f>SUMPRODUCT(K27:K30,L27:L30)/SUM(L27:L30)</f>
        <v>180.36734847229721</v>
      </c>
      <c r="M26" s="18">
        <f>SUMPRODUCT(M27:M30,L27:L30)/SUM(L27:L30)</f>
        <v>3.8881798619501286E-2</v>
      </c>
    </row>
    <row r="27" spans="1:13" x14ac:dyDescent="0.3">
      <c r="A27" s="17" t="s">
        <v>34</v>
      </c>
      <c r="B27" s="21">
        <v>234.77170000000001</v>
      </c>
      <c r="C27" s="21">
        <v>86245647.939999998</v>
      </c>
      <c r="E27" t="s">
        <v>23</v>
      </c>
      <c r="F27">
        <v>206.46415440999999</v>
      </c>
      <c r="G27">
        <v>964581522.33000004</v>
      </c>
      <c r="J27" t="s">
        <v>23</v>
      </c>
      <c r="K27">
        <v>214.81611819</v>
      </c>
      <c r="L27">
        <v>897019568.54999995</v>
      </c>
      <c r="M27" s="18">
        <f>K27/F27-1</f>
        <v>4.045236716207179E-2</v>
      </c>
    </row>
    <row r="28" spans="1:13" x14ac:dyDescent="0.3">
      <c r="A28" s="17" t="s">
        <v>27</v>
      </c>
      <c r="B28" s="21">
        <v>12.22566097</v>
      </c>
      <c r="C28" s="21">
        <v>1252858098.9100001</v>
      </c>
      <c r="E28" t="s">
        <v>24</v>
      </c>
      <c r="F28">
        <v>130.46580786999999</v>
      </c>
      <c r="G28">
        <v>293106174.69999999</v>
      </c>
      <c r="J28" t="s">
        <v>24</v>
      </c>
      <c r="K28">
        <v>135.93525915000001</v>
      </c>
      <c r="L28">
        <v>385465944.74000001</v>
      </c>
      <c r="M28" s="18">
        <f t="shared" ref="M28:M30" si="1">K28/F28-1</f>
        <v>4.1922488116196144E-2</v>
      </c>
    </row>
    <row r="29" spans="1:13" x14ac:dyDescent="0.3">
      <c r="A29" s="17" t="s">
        <v>28</v>
      </c>
      <c r="B29" s="21">
        <v>204.30919470000001</v>
      </c>
      <c r="C29" s="21">
        <v>193948463.15000001</v>
      </c>
      <c r="E29" t="s">
        <v>25</v>
      </c>
      <c r="F29">
        <v>160.45289</v>
      </c>
      <c r="G29">
        <v>1210142183.6500001</v>
      </c>
      <c r="J29" t="s">
        <v>25</v>
      </c>
      <c r="K29">
        <v>166.41805854</v>
      </c>
      <c r="L29">
        <v>1317793069.1300001</v>
      </c>
      <c r="M29" s="18">
        <f t="shared" si="1"/>
        <v>3.7177071350974256E-2</v>
      </c>
    </row>
    <row r="30" spans="1:13" x14ac:dyDescent="0.3">
      <c r="A30" s="17" t="s">
        <v>35</v>
      </c>
      <c r="B30" s="21">
        <v>243.9394648</v>
      </c>
      <c r="C30" s="21">
        <v>117733913.66</v>
      </c>
      <c r="E30" t="s">
        <v>28</v>
      </c>
      <c r="F30">
        <v>196.71769019999999</v>
      </c>
      <c r="G30">
        <v>325599215.44</v>
      </c>
      <c r="J30" t="s">
        <v>28</v>
      </c>
      <c r="K30">
        <v>204.02861960000001</v>
      </c>
      <c r="L30">
        <v>194753456.19999999</v>
      </c>
      <c r="M30" s="18">
        <f t="shared" si="1"/>
        <v>3.7164575247742526E-2</v>
      </c>
    </row>
    <row r="31" spans="1:13" x14ac:dyDescent="0.3">
      <c r="A31" s="17" t="s">
        <v>29</v>
      </c>
      <c r="B31" s="21">
        <v>176.4820235</v>
      </c>
      <c r="C31" s="21">
        <v>1602370107.4100001</v>
      </c>
    </row>
    <row r="32" spans="1:13" x14ac:dyDescent="0.3">
      <c r="A32" s="16" t="s">
        <v>399</v>
      </c>
      <c r="B32" s="21">
        <v>5259.1642879100009</v>
      </c>
      <c r="C32" s="21">
        <v>25951174815.184998</v>
      </c>
    </row>
    <row r="33" spans="1:14" x14ac:dyDescent="0.3">
      <c r="N33" s="19">
        <f>M26*(1-30%)</f>
        <v>2.7217259033650899E-2</v>
      </c>
    </row>
    <row r="39" spans="1:14" x14ac:dyDescent="0.3">
      <c r="A39" t="s">
        <v>22</v>
      </c>
      <c r="B39">
        <v>169.08254138999999</v>
      </c>
      <c r="C39">
        <v>175.83459361000001</v>
      </c>
      <c r="D39" s="18">
        <f>C39/B39-1</f>
        <v>3.99334677873453E-2</v>
      </c>
      <c r="E39">
        <v>2705450184.71</v>
      </c>
    </row>
    <row r="40" spans="1:14" x14ac:dyDescent="0.3">
      <c r="A40" t="s">
        <v>23</v>
      </c>
      <c r="B40">
        <v>206.54572515000001</v>
      </c>
      <c r="C40">
        <v>215.18728877999999</v>
      </c>
      <c r="D40" s="18">
        <f t="shared" ref="D40:D51" si="2">C40/B40-1</f>
        <v>4.1838501492704294E-2</v>
      </c>
      <c r="E40">
        <v>901603838.59000003</v>
      </c>
    </row>
    <row r="41" spans="1:14" x14ac:dyDescent="0.3">
      <c r="A41" t="s">
        <v>32</v>
      </c>
      <c r="B41">
        <v>397.37435775</v>
      </c>
      <c r="C41">
        <v>411.62102847</v>
      </c>
      <c r="D41" s="18">
        <f t="shared" si="2"/>
        <v>3.5852013201523647E-2</v>
      </c>
      <c r="E41">
        <v>438285237.41000003</v>
      </c>
    </row>
    <row r="42" spans="1:14" x14ac:dyDescent="0.3">
      <c r="A42" t="s">
        <v>24</v>
      </c>
      <c r="B42">
        <v>130.56815967</v>
      </c>
      <c r="C42">
        <v>136.05660689000001</v>
      </c>
      <c r="D42" s="18">
        <f t="shared" si="2"/>
        <v>4.2035112035519129E-2</v>
      </c>
      <c r="E42">
        <v>391665509.10000002</v>
      </c>
    </row>
    <row r="43" spans="1:14" x14ac:dyDescent="0.3">
      <c r="A43" t="s">
        <v>33</v>
      </c>
      <c r="B43">
        <v>219.21646100000001</v>
      </c>
      <c r="C43">
        <v>227.19794242</v>
      </c>
      <c r="D43" s="18">
        <f t="shared" si="2"/>
        <v>3.6409133618848122E-2</v>
      </c>
      <c r="E43">
        <v>758788918.42999995</v>
      </c>
    </row>
    <row r="44" spans="1:14" x14ac:dyDescent="0.3">
      <c r="A44" t="s">
        <v>25</v>
      </c>
      <c r="B44">
        <v>160.52851999999999</v>
      </c>
      <c r="C44">
        <v>166.77472852</v>
      </c>
      <c r="D44" s="18">
        <f t="shared" si="2"/>
        <v>3.8910272891072628E-2</v>
      </c>
      <c r="E44">
        <v>1312884105.1199999</v>
      </c>
    </row>
    <row r="45" spans="1:14" x14ac:dyDescent="0.3">
      <c r="A45" t="s">
        <v>26</v>
      </c>
      <c r="B45">
        <v>347.98733499999997</v>
      </c>
      <c r="C45">
        <v>361.75432577999999</v>
      </c>
      <c r="D45" s="18">
        <f t="shared" si="2"/>
        <v>3.9561758131226199E-2</v>
      </c>
      <c r="E45">
        <v>3481232200.6300001</v>
      </c>
    </row>
    <row r="46" spans="1:14" x14ac:dyDescent="0.3">
      <c r="A46" t="s">
        <v>40</v>
      </c>
      <c r="B46">
        <v>107.59950000000001</v>
      </c>
      <c r="C46">
        <v>110.97620000000001</v>
      </c>
      <c r="D46" s="18">
        <f t="shared" si="2"/>
        <v>3.1382116087899981E-2</v>
      </c>
      <c r="E46">
        <v>149576430.905</v>
      </c>
    </row>
    <row r="47" spans="1:14" x14ac:dyDescent="0.3">
      <c r="A47" t="s">
        <v>34</v>
      </c>
      <c r="B47">
        <v>229.0359</v>
      </c>
      <c r="C47">
        <v>234.77170000000001</v>
      </c>
      <c r="D47" s="18">
        <f t="shared" si="2"/>
        <v>2.5043235580099132E-2</v>
      </c>
      <c r="E47">
        <v>86245647.939999998</v>
      </c>
    </row>
    <row r="48" spans="1:14" x14ac:dyDescent="0.3">
      <c r="A48" t="s">
        <v>27</v>
      </c>
      <c r="B48">
        <v>11.739330109999999</v>
      </c>
      <c r="C48">
        <v>12.22566097</v>
      </c>
      <c r="D48" s="18">
        <f t="shared" si="2"/>
        <v>4.1427479715024473E-2</v>
      </c>
      <c r="E48">
        <v>1252858098.9100001</v>
      </c>
    </row>
    <row r="49" spans="1:6" x14ac:dyDescent="0.3">
      <c r="A49" t="s">
        <v>28</v>
      </c>
      <c r="B49">
        <v>196.89076600000001</v>
      </c>
      <c r="C49">
        <v>204.30919470000001</v>
      </c>
      <c r="D49" s="18">
        <f t="shared" si="2"/>
        <v>3.7677890389232305E-2</v>
      </c>
      <c r="E49">
        <v>193948463.15000001</v>
      </c>
    </row>
    <row r="50" spans="1:6" x14ac:dyDescent="0.3">
      <c r="A50" t="s">
        <v>35</v>
      </c>
      <c r="B50">
        <v>236.17500010000001</v>
      </c>
      <c r="C50">
        <v>243.9394648</v>
      </c>
      <c r="D50" s="18">
        <f t="shared" si="2"/>
        <v>3.28758958260289E-2</v>
      </c>
      <c r="E50">
        <v>117733913.66</v>
      </c>
    </row>
    <row r="51" spans="1:6" x14ac:dyDescent="0.3">
      <c r="A51" t="s">
        <v>29</v>
      </c>
      <c r="B51">
        <v>169.2899333</v>
      </c>
      <c r="C51">
        <v>176.4820235</v>
      </c>
      <c r="D51" s="18">
        <f t="shared" si="2"/>
        <v>4.2483862210842993E-2</v>
      </c>
      <c r="E51">
        <v>1602370107.4100001</v>
      </c>
    </row>
    <row r="55" spans="1:6" x14ac:dyDescent="0.3">
      <c r="A55" t="s">
        <v>13</v>
      </c>
      <c r="B55">
        <v>3.9561758131226199E-2</v>
      </c>
      <c r="C55">
        <v>3481232200.6300001</v>
      </c>
      <c r="E55" s="18">
        <f>SUMPRODUCT(B55:B58,C55:C58)/SUM(C55:C58)</f>
        <v>4.0449338084704169E-2</v>
      </c>
      <c r="F55" s="22">
        <f>E55*(1-30%)</f>
        <v>2.8314536659292917E-2</v>
      </c>
    </row>
    <row r="56" spans="1:6" x14ac:dyDescent="0.3">
      <c r="A56" t="s">
        <v>14</v>
      </c>
      <c r="B56">
        <v>4.1427479715024473E-2</v>
      </c>
      <c r="C56">
        <v>1252858098.9100001</v>
      </c>
    </row>
    <row r="57" spans="1:6" x14ac:dyDescent="0.3">
      <c r="A57" t="s">
        <v>9</v>
      </c>
      <c r="B57">
        <v>3.99334677873453E-2</v>
      </c>
      <c r="C57">
        <v>2705450184.71</v>
      </c>
    </row>
    <row r="58" spans="1:6" x14ac:dyDescent="0.3">
      <c r="A58" t="s">
        <v>431</v>
      </c>
      <c r="B58">
        <v>4.2483862210842993E-2</v>
      </c>
      <c r="C58">
        <v>1602370107.4100001</v>
      </c>
    </row>
    <row r="60" spans="1:6" x14ac:dyDescent="0.3">
      <c r="A60" t="s">
        <v>432</v>
      </c>
      <c r="B60">
        <v>4.1838501492704294E-2</v>
      </c>
      <c r="C60">
        <v>901603838.59000003</v>
      </c>
      <c r="E60" s="18">
        <f>SUMPRODUCT(B60:B63,C60:C63)/SUM(C60:C63)</f>
        <v>4.0204859759128714E-2</v>
      </c>
      <c r="F60" s="22">
        <f>E60*(1-30%)</f>
        <v>2.8143401831390098E-2</v>
      </c>
    </row>
    <row r="61" spans="1:6" x14ac:dyDescent="0.3">
      <c r="A61" t="s">
        <v>12</v>
      </c>
      <c r="B61">
        <v>3.8910272891072628E-2</v>
      </c>
      <c r="C61">
        <v>1312884105.1199999</v>
      </c>
    </row>
    <row r="62" spans="1:6" x14ac:dyDescent="0.3">
      <c r="A62" t="s">
        <v>11</v>
      </c>
      <c r="B62">
        <v>4.2035112035519129E-2</v>
      </c>
      <c r="C62">
        <v>391665509.10000002</v>
      </c>
    </row>
    <row r="63" spans="1:6" x14ac:dyDescent="0.3">
      <c r="A63" t="s">
        <v>433</v>
      </c>
      <c r="B63">
        <v>3.7677890389232305E-2</v>
      </c>
      <c r="C63">
        <v>193948463.15000001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Fondos</vt:lpstr>
      <vt:lpstr>Data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2026-10-13T16:49:37Z</dcterms:created>
  <dcterms:modified xsi:type="dcterms:W3CDTF">2026-10-22T21:15:57Z</dcterms:modified>
</cp:coreProperties>
</file>